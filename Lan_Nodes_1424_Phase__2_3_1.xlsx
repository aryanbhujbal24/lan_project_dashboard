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d51\Downloads\"/>
    </mc:Choice>
  </mc:AlternateContent>
  <xr:revisionPtr revIDLastSave="0" documentId="13_ncr:1_{DEB79F01-FFF9-4A34-B4A2-B5DD7CF73DBF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179 LOCATION LIST (2)" sheetId="3" r:id="rId1"/>
    <sheet name="PHASE I BOQ  " sheetId="2" r:id="rId2"/>
    <sheet name="PHASE I Location List " sheetId="4" r:id="rId3"/>
    <sheet name="PHASE II BOQ  " sheetId="5" r:id="rId4"/>
    <sheet name="PHASE II Location List Working" sheetId="6" r:id="rId5"/>
  </sheets>
  <definedNames>
    <definedName name="_xlnm._FilterDatabase" localSheetId="0" hidden="1">'179 LOCATION LIST (2)'!$A$3:$M$99</definedName>
    <definedName name="_xlnm._FilterDatabase" localSheetId="2" hidden="1">'PHASE I Location List '!$A$3:$M$4</definedName>
    <definedName name="_xlnm._FilterDatabase" localSheetId="4" hidden="1">'PHASE II Location List Working'!$A$3:$M$52</definedName>
    <definedName name="_xlnm.Print_Area" localSheetId="2">'PHASE I Location List '!$A$1:$P$57</definedName>
    <definedName name="_xlnm.Print_Area" localSheetId="4">'PHASE II Location List Working'!$A$1:$O$59</definedName>
  </definedNames>
  <calcPr calcId="191029"/>
</workbook>
</file>

<file path=xl/calcChain.xml><?xml version="1.0" encoding="utf-8"?>
<calcChain xmlns="http://schemas.openxmlformats.org/spreadsheetml/2006/main">
  <c r="G52" i="6" l="1"/>
  <c r="G56" i="6" s="1"/>
  <c r="I52" i="6"/>
  <c r="I56" i="6" s="1"/>
  <c r="J52" i="6"/>
  <c r="J56" i="6" s="1"/>
  <c r="K52" i="6"/>
  <c r="K56" i="6" s="1"/>
  <c r="L52" i="6"/>
  <c r="L56" i="6" s="1"/>
  <c r="M52" i="6"/>
  <c r="M56" i="6" s="1"/>
  <c r="F52" i="6"/>
  <c r="F56" i="6" s="1"/>
  <c r="D52" i="6"/>
  <c r="E52" i="6"/>
  <c r="E99" i="3"/>
  <c r="E50" i="4"/>
  <c r="F13" i="5"/>
  <c r="F14" i="5"/>
  <c r="F15" i="5"/>
  <c r="F16" i="5"/>
  <c r="F17" i="5"/>
  <c r="F18" i="5"/>
  <c r="F19" i="5"/>
  <c r="F12" i="5"/>
  <c r="D50" i="4"/>
  <c r="D99" i="3"/>
  <c r="M99" i="3"/>
  <c r="F60" i="4"/>
  <c r="H51" i="6"/>
  <c r="H50" i="6"/>
  <c r="H49" i="6"/>
  <c r="H48" i="6"/>
  <c r="H47" i="6"/>
  <c r="H46" i="6"/>
  <c r="H45" i="6"/>
  <c r="H44" i="6"/>
  <c r="H43" i="6"/>
  <c r="H41" i="6"/>
  <c r="H39" i="6"/>
  <c r="H37" i="6"/>
  <c r="H36" i="6"/>
  <c r="H35" i="6"/>
  <c r="H34" i="6"/>
  <c r="H33" i="6"/>
  <c r="H31" i="6"/>
  <c r="H30" i="6"/>
  <c r="H29" i="6"/>
  <c r="H28" i="6"/>
  <c r="H27" i="6"/>
  <c r="H26" i="6"/>
  <c r="H25" i="6"/>
  <c r="H24" i="6"/>
  <c r="H23" i="6"/>
  <c r="H22" i="6"/>
  <c r="H20" i="6"/>
  <c r="H19" i="6"/>
  <c r="H18" i="6"/>
  <c r="H17" i="6"/>
  <c r="H15" i="6"/>
  <c r="H12" i="6"/>
  <c r="H11" i="6"/>
  <c r="H10" i="6"/>
  <c r="H9" i="6"/>
  <c r="H8" i="6"/>
  <c r="H7" i="6"/>
  <c r="F50" i="4"/>
  <c r="F54" i="4" s="1"/>
  <c r="G50" i="4"/>
  <c r="G54" i="4" s="1"/>
  <c r="H50" i="4"/>
  <c r="H54" i="4" s="1"/>
  <c r="I50" i="4"/>
  <c r="I54" i="4" s="1"/>
  <c r="J50" i="4"/>
  <c r="J54" i="4" s="1"/>
  <c r="K50" i="4"/>
  <c r="K54" i="4" s="1"/>
  <c r="L50" i="4"/>
  <c r="L54" i="4" s="1"/>
  <c r="M50" i="4"/>
  <c r="M54" i="4" s="1"/>
  <c r="F22" i="5" l="1"/>
  <c r="H52" i="6"/>
  <c r="H56" i="6" s="1"/>
  <c r="M58" i="6" s="1"/>
  <c r="M56" i="4"/>
  <c r="F20" i="2"/>
  <c r="F14" i="2"/>
  <c r="F15" i="2"/>
  <c r="F16" i="2"/>
  <c r="F17" i="2"/>
  <c r="F18" i="2"/>
  <c r="F19" i="2"/>
  <c r="F13" i="2"/>
  <c r="F25" i="2" l="1"/>
  <c r="L99" i="3"/>
  <c r="K99" i="3"/>
  <c r="J99" i="3"/>
  <c r="H103" i="3" s="1"/>
  <c r="I99" i="3"/>
  <c r="G99" i="3"/>
  <c r="F99" i="3"/>
  <c r="H98" i="3"/>
  <c r="H97" i="3"/>
  <c r="H96" i="3"/>
  <c r="H95" i="3"/>
  <c r="H94" i="3"/>
  <c r="H93" i="3"/>
  <c r="H92" i="3"/>
  <c r="H91" i="3"/>
  <c r="H90" i="3"/>
  <c r="H88" i="3"/>
  <c r="H86" i="3"/>
  <c r="H84" i="3"/>
  <c r="H83" i="3"/>
  <c r="H82" i="3"/>
  <c r="H81" i="3"/>
  <c r="H80" i="3"/>
  <c r="H78" i="3"/>
  <c r="H77" i="3"/>
  <c r="H76" i="3"/>
  <c r="H75" i="3"/>
  <c r="H74" i="3"/>
  <c r="H73" i="3"/>
  <c r="H72" i="3"/>
  <c r="H71" i="3"/>
  <c r="H70" i="3"/>
  <c r="H69" i="3"/>
  <c r="H67" i="3"/>
  <c r="H66" i="3"/>
  <c r="H65" i="3"/>
  <c r="H64" i="3"/>
  <c r="H62" i="3"/>
  <c r="H59" i="3"/>
  <c r="H58" i="3"/>
  <c r="H57" i="3"/>
  <c r="H56" i="3"/>
  <c r="H55" i="3"/>
  <c r="H54" i="3"/>
  <c r="H49" i="3"/>
  <c r="H45" i="3"/>
  <c r="H44" i="3"/>
  <c r="H43" i="3"/>
  <c r="H42" i="3"/>
  <c r="H41" i="3"/>
  <c r="H39" i="3"/>
  <c r="H38" i="3"/>
  <c r="H36" i="3"/>
  <c r="H35" i="3"/>
  <c r="H33" i="3"/>
  <c r="H31" i="3"/>
  <c r="H29" i="3"/>
  <c r="H27" i="3"/>
  <c r="H26" i="3"/>
  <c r="H24" i="3"/>
  <c r="H23" i="3"/>
  <c r="H22" i="3"/>
  <c r="H21" i="3"/>
  <c r="H20" i="3"/>
  <c r="H19" i="3"/>
  <c r="H18" i="3"/>
  <c r="H17" i="3"/>
  <c r="H16" i="3"/>
  <c r="H14" i="3"/>
  <c r="H12" i="3"/>
  <c r="H8" i="3"/>
  <c r="H7" i="3"/>
  <c r="H6" i="3"/>
  <c r="H5" i="3"/>
  <c r="H99" i="3" l="1"/>
</calcChain>
</file>

<file path=xl/sharedStrings.xml><?xml version="1.0" encoding="utf-8"?>
<sst xmlns="http://schemas.openxmlformats.org/spreadsheetml/2006/main" count="504" uniqueCount="262">
  <si>
    <t>Sr. No.</t>
  </si>
  <si>
    <t>Lan Nodes to be provided</t>
  </si>
  <si>
    <t>Aurangabad</t>
  </si>
  <si>
    <t>Beed</t>
  </si>
  <si>
    <t>Buldana</t>
  </si>
  <si>
    <t>Gadchiroli</t>
  </si>
  <si>
    <t>Jalgaon</t>
  </si>
  <si>
    <t>Jalna</t>
  </si>
  <si>
    <t>Mumbai</t>
  </si>
  <si>
    <t>Nanded</t>
  </si>
  <si>
    <t>Nandurbar</t>
  </si>
  <si>
    <t>North Goa</t>
  </si>
  <si>
    <t>Osmanabad</t>
  </si>
  <si>
    <t>Parbhani</t>
  </si>
  <si>
    <t>Pune</t>
  </si>
  <si>
    <t>Ratnagiri</t>
  </si>
  <si>
    <t>Satara</t>
  </si>
  <si>
    <t>Solapur</t>
  </si>
  <si>
    <t>South Goa</t>
  </si>
  <si>
    <t>Wardha</t>
  </si>
  <si>
    <t>    Nanded      </t>
  </si>
  <si>
    <t>8 Port Switch</t>
  </si>
  <si>
    <t>24 Port Switch</t>
  </si>
  <si>
    <t>Cat-6 Cable (mtr)</t>
  </si>
  <si>
    <t>Patch Panel (24 Port)</t>
  </si>
  <si>
    <t>I/O             (Box,Face plate)</t>
  </si>
  <si>
    <t>1 mtr Patch Cord</t>
  </si>
  <si>
    <t>3 mtr Patch Cord</t>
  </si>
  <si>
    <t>6U Rack</t>
  </si>
  <si>
    <r>
      <t xml:space="preserve">179 </t>
    </r>
    <r>
      <rPr>
        <b/>
        <u/>
        <sz val="14"/>
        <color rgb="FF080808"/>
        <rFont val="Times New Roman"/>
        <family val="1"/>
      </rPr>
      <t xml:space="preserve">No. </t>
    </r>
    <r>
      <rPr>
        <b/>
        <u/>
        <sz val="14"/>
        <color rgb="FF0C0C0C"/>
        <rFont val="Times New Roman"/>
        <family val="1"/>
      </rPr>
      <t xml:space="preserve">Of </t>
    </r>
    <r>
      <rPr>
        <b/>
        <u/>
        <sz val="14"/>
        <rFont val="Times New Roman"/>
        <family val="1"/>
      </rPr>
      <t xml:space="preserve">Additional Courts where </t>
    </r>
    <r>
      <rPr>
        <b/>
        <u/>
        <sz val="14"/>
        <color rgb="FF111111"/>
        <rFont val="Times New Roman"/>
        <family val="1"/>
      </rPr>
      <t xml:space="preserve">LAN </t>
    </r>
    <r>
      <rPr>
        <b/>
        <u/>
        <sz val="14"/>
        <rFont val="Times New Roman"/>
        <family val="1"/>
      </rPr>
      <t xml:space="preserve">Nodes </t>
    </r>
    <r>
      <rPr>
        <b/>
        <u/>
        <sz val="14"/>
        <color rgb="FF080808"/>
        <rFont val="Times New Roman"/>
        <family val="1"/>
      </rPr>
      <t xml:space="preserve">to </t>
    </r>
    <r>
      <rPr>
        <b/>
        <u/>
        <sz val="14"/>
        <rFont val="Times New Roman"/>
        <family val="1"/>
      </rPr>
      <t xml:space="preserve">be provided </t>
    </r>
    <r>
      <rPr>
        <b/>
        <u/>
        <sz val="14"/>
        <color rgb="FF0A0A0A"/>
        <rFont val="Times New Roman"/>
        <family val="1"/>
      </rPr>
      <t xml:space="preserve">in </t>
    </r>
    <r>
      <rPr>
        <b/>
        <u/>
        <sz val="14"/>
        <color rgb="FF111111"/>
        <rFont val="Times New Roman"/>
        <family val="1"/>
      </rPr>
      <t xml:space="preserve">the </t>
    </r>
    <r>
      <rPr>
        <b/>
        <u/>
        <sz val="14"/>
        <rFont val="Times New Roman"/>
        <family val="1"/>
      </rPr>
      <t>State of Maharashtra and Goa</t>
    </r>
  </si>
  <si>
    <r>
      <rPr>
        <sz val="11"/>
        <color rgb="FF232323"/>
        <rFont val="Times New Roman"/>
        <family val="1"/>
      </rPr>
      <t xml:space="preserve"> </t>
    </r>
    <r>
      <rPr>
        <sz val="11"/>
        <rFont val="Times New Roman"/>
        <family val="1"/>
      </rPr>
      <t xml:space="preserve">Name </t>
    </r>
    <r>
      <rPr>
        <sz val="11"/>
        <color rgb="FF080808"/>
        <rFont val="Times New Roman"/>
        <family val="1"/>
      </rPr>
      <t xml:space="preserve">of </t>
    </r>
    <r>
      <rPr>
        <sz val="11"/>
        <color rgb="FF0A0A0A"/>
        <rFont val="Times New Roman"/>
        <family val="1"/>
      </rPr>
      <t xml:space="preserve">the </t>
    </r>
    <r>
      <rPr>
        <sz val="11"/>
        <rFont val="Times New Roman"/>
        <family val="1"/>
      </rPr>
      <t xml:space="preserve">Judicia1
</t>
    </r>
    <r>
      <rPr>
        <sz val="11"/>
        <color rgb="FF0A0A0A"/>
        <rFont val="Times New Roman"/>
        <family val="1"/>
      </rPr>
      <t>District</t>
    </r>
  </si>
  <si>
    <r>
      <t xml:space="preserve">Name </t>
    </r>
    <r>
      <rPr>
        <sz val="11"/>
        <color rgb="FF0F0F0F"/>
        <rFont val="Times New Roman"/>
        <family val="1"/>
      </rPr>
      <t xml:space="preserve">of </t>
    </r>
    <r>
      <rPr>
        <sz val="11"/>
        <color rgb="FF050505"/>
        <rFont val="Times New Roman"/>
        <family val="1"/>
      </rPr>
      <t xml:space="preserve">Court </t>
    </r>
    <r>
      <rPr>
        <sz val="11"/>
        <rFont val="Times New Roman"/>
        <family val="1"/>
      </rPr>
      <t>Complex</t>
    </r>
  </si>
  <si>
    <r>
      <rPr>
        <b/>
        <u/>
        <sz val="11"/>
        <color rgb="FF111111"/>
        <rFont val="Times New Roman"/>
        <family val="1"/>
      </rPr>
      <t>ICT </t>
    </r>
    <r>
      <rPr>
        <u/>
        <sz val="11"/>
        <rFont val="Times New Roman"/>
        <family val="1"/>
      </rPr>
      <t xml:space="preserve">Newlv
Setup Courts
</t>
    </r>
    <r>
      <rPr>
        <b/>
        <sz val="11"/>
        <rFont val="Times New Roman"/>
        <family val="1"/>
      </rPr>
      <t>after Dec  2019</t>
    </r>
  </si>
  <si>
    <r>
      <rPr>
        <sz val="11"/>
        <color rgb="FF1A1A1A"/>
        <rFont val="Times New Roman"/>
        <family val="1"/>
      </rPr>
      <t xml:space="preserve">     </t>
    </r>
    <r>
      <rPr>
        <sz val="11"/>
        <rFont val="Times New Roman"/>
        <family val="1"/>
      </rPr>
      <t>Ahmednagar</t>
    </r>
  </si>
  <si>
    <r>
      <rPr>
        <sz val="11"/>
        <rFont val="Times New Roman"/>
        <family val="1"/>
      </rPr>
      <t xml:space="preserve">District  </t>
    </r>
    <r>
      <rPr>
        <sz val="11"/>
        <color rgb="FF0E0E0E"/>
        <rFont val="Times New Roman"/>
        <family val="1"/>
      </rPr>
      <t xml:space="preserve">Judge </t>
    </r>
    <r>
      <rPr>
        <sz val="11"/>
        <color rgb="FF232323"/>
        <rFont val="Times New Roman"/>
        <family val="1"/>
      </rPr>
      <t xml:space="preserve">- </t>
    </r>
    <r>
      <rPr>
        <sz val="11"/>
        <color rgb="FF151515"/>
        <rFont val="Times New Roman"/>
        <family val="1"/>
      </rPr>
      <t xml:space="preserve">1 </t>
    </r>
    <r>
      <rPr>
        <sz val="11"/>
        <color rgb="FF1F1F1F"/>
        <rFont val="Times New Roman"/>
        <family val="1"/>
      </rPr>
      <t xml:space="preserve">&amp; </t>
    </r>
    <r>
      <rPr>
        <sz val="11"/>
        <color rgb="FF131313"/>
        <rFont val="Times New Roman"/>
        <family val="1"/>
      </rPr>
      <t xml:space="preserve">ASJ </t>
    </r>
    <r>
      <rPr>
        <sz val="11"/>
        <rFont val="Times New Roman"/>
        <family val="1"/>
      </rPr>
      <t xml:space="preserve">and Court </t>
    </r>
    <r>
      <rPr>
        <sz val="11"/>
        <color rgb="FF131313"/>
        <rFont val="Times New Roman"/>
        <family val="1"/>
      </rPr>
      <t xml:space="preserve">of </t>
    </r>
    <r>
      <rPr>
        <sz val="11"/>
        <rFont val="Times New Roman"/>
        <family val="1"/>
      </rPr>
      <t xml:space="preserve">CJJD </t>
    </r>
    <r>
      <rPr>
        <sz val="11"/>
        <color rgb="FF1A1A1A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JMFC, </t>
    </r>
    <r>
      <rPr>
        <sz val="11"/>
        <color rgb="FF0A0A0A"/>
        <rFont val="Times New Roman"/>
        <family val="1"/>
      </rPr>
      <t xml:space="preserve">New </t>
    </r>
    <r>
      <rPr>
        <sz val="11"/>
        <rFont val="Times New Roman"/>
        <family val="1"/>
      </rPr>
      <t xml:space="preserve">Court </t>
    </r>
    <r>
      <rPr>
        <sz val="11"/>
        <color rgb="FF080808"/>
        <rFont val="Times New Roman"/>
        <family val="1"/>
      </rPr>
      <t xml:space="preserve">Building,  </t>
    </r>
    <r>
      <rPr>
        <sz val="11"/>
        <rFont val="Times New Roman"/>
        <family val="1"/>
      </rPr>
      <t xml:space="preserve">Ghulewadi, </t>
    </r>
    <r>
      <rPr>
        <sz val="11"/>
        <color rgb="FF131313"/>
        <rFont val="Times New Roman"/>
        <family val="1"/>
      </rPr>
      <t xml:space="preserve">Nashik </t>
    </r>
    <r>
      <rPr>
        <sz val="11"/>
        <color rgb="FF0C0C0C"/>
        <rFont val="Times New Roman"/>
        <family val="1"/>
      </rPr>
      <t xml:space="preserve">Road, </t>
    </r>
    <r>
      <rPr>
        <sz val="11"/>
        <color rgb="FF161616"/>
        <rFont val="Times New Roman"/>
        <family val="1"/>
      </rPr>
      <t>S</t>
    </r>
    <r>
      <rPr>
        <sz val="11"/>
        <rFont val="Times New Roman"/>
        <family val="1"/>
      </rPr>
      <t xml:space="preserve">angamner Tal. Sangamner, </t>
    </r>
    <r>
      <rPr>
        <i/>
        <sz val="11"/>
        <rFont val="Times New Roman"/>
        <family val="1"/>
      </rPr>
      <t xml:space="preserve">Dist. </t>
    </r>
    <r>
      <rPr>
        <sz val="11"/>
        <rFont val="Times New Roman"/>
        <family val="1"/>
      </rPr>
      <t xml:space="preserve">Ahmednagar  </t>
    </r>
    <r>
      <rPr>
        <sz val="11"/>
        <color rgb="FF181818"/>
        <rFont val="Times New Roman"/>
        <family val="1"/>
      </rPr>
      <t xml:space="preserve">- </t>
    </r>
    <r>
      <rPr>
        <sz val="11"/>
        <color rgb="FF050505"/>
        <rFont val="Times New Roman"/>
        <family val="1"/>
      </rPr>
      <t xml:space="preserve">422 </t>
    </r>
    <r>
      <rPr>
        <sz val="11"/>
        <rFont val="Times New Roman"/>
        <family val="1"/>
      </rPr>
      <t>605</t>
    </r>
  </si>
  <si>
    <r>
      <rPr>
        <sz val="11"/>
        <rFont val="Times New Roman"/>
        <family val="1"/>
      </rPr>
      <t xml:space="preserve">Court </t>
    </r>
    <r>
      <rPr>
        <sz val="11"/>
        <color rgb="FF181818"/>
        <rFont val="Times New Roman"/>
        <family val="1"/>
      </rPr>
      <t xml:space="preserve">of </t>
    </r>
    <r>
      <rPr>
        <sz val="11"/>
        <rFont val="Times New Roman"/>
        <family val="1"/>
      </rPr>
      <t xml:space="preserve">Civil Judge, Junior Division </t>
    </r>
    <r>
      <rPr>
        <sz val="11"/>
        <color rgb="FF0F0F0F"/>
        <rFont val="Times New Roman"/>
        <family val="1"/>
      </rPr>
      <t xml:space="preserve">&amp;
</t>
    </r>
    <r>
      <rPr>
        <sz val="11"/>
        <rFont val="Times New Roman"/>
        <family val="1"/>
      </rPr>
      <t xml:space="preserve">Judicial Magistrate, First </t>
    </r>
    <r>
      <rPr>
        <sz val="11"/>
        <color rgb="FF070707"/>
        <rFont val="Times New Roman"/>
        <family val="1"/>
      </rPr>
      <t xml:space="preserve">Class, </t>
    </r>
    <r>
      <rPr>
        <sz val="11"/>
        <color rgb="FF0C0C0C"/>
        <rFont val="Times New Roman"/>
        <family val="1"/>
      </rPr>
      <t xml:space="preserve">New </t>
    </r>
    <r>
      <rPr>
        <sz val="11"/>
        <rFont val="Times New Roman"/>
        <family val="1"/>
      </rPr>
      <t>Court Building,  Rashin Road, Karjat </t>
    </r>
    <r>
      <rPr>
        <sz val="11"/>
        <color rgb="FF131313"/>
        <rFont val="Times New Roman"/>
        <family val="1"/>
      </rPr>
      <t xml:space="preserve">- </t>
    </r>
    <r>
      <rPr>
        <sz val="11"/>
        <color rgb="FF0A0A0A"/>
        <rFont val="Times New Roman"/>
        <family val="1"/>
      </rPr>
      <t xml:space="preserve">414 </t>
    </r>
    <r>
      <rPr>
        <sz val="11"/>
        <color rgb="FF070707"/>
        <rFont val="Times New Roman"/>
        <family val="1"/>
      </rPr>
      <t>402</t>
    </r>
  </si>
  <si>
    <r>
      <rPr>
        <sz val="11"/>
        <color rgb="FF0C0C0C"/>
        <rFont val="Times New Roman"/>
        <family val="1"/>
      </rPr>
      <t xml:space="preserve">Court </t>
    </r>
    <r>
      <rPr>
        <sz val="11"/>
        <rFont val="Times New Roman"/>
        <family val="1"/>
      </rPr>
      <t xml:space="preserve">of Civil Judge, Junior Division &amp;
Judicial Magistrate, First Class, Shevgaon - 4J </t>
    </r>
    <r>
      <rPr>
        <sz val="11"/>
        <color rgb="FF0C0C0C"/>
        <rFont val="Times New Roman"/>
        <family val="1"/>
      </rPr>
      <t xml:space="preserve">4 </t>
    </r>
    <r>
      <rPr>
        <sz val="11"/>
        <rFont val="Times New Roman"/>
        <family val="1"/>
      </rPr>
      <t>502</t>
    </r>
  </si>
  <si>
    <r>
      <rPr>
        <sz val="11"/>
        <color rgb="FF070707"/>
        <rFont val="Times New Roman"/>
        <family val="1"/>
      </rPr>
      <t xml:space="preserve">Court </t>
    </r>
    <r>
      <rPr>
        <sz val="11"/>
        <color rgb="FF080808"/>
        <rFont val="Times New Roman"/>
        <family val="1"/>
      </rPr>
      <t xml:space="preserve">of </t>
    </r>
    <r>
      <rPr>
        <sz val="11"/>
        <rFont val="Times New Roman"/>
        <family val="1"/>
      </rPr>
      <t xml:space="preserve">Civil Judge, Junior Division </t>
    </r>
    <r>
      <rPr>
        <sz val="11"/>
        <color rgb="FF1C1C1C"/>
        <rFont val="Times New Roman"/>
        <family val="1"/>
      </rPr>
      <t xml:space="preserve">&amp;
</t>
    </r>
    <r>
      <rPr>
        <sz val="11"/>
        <rFont val="Times New Roman"/>
        <family val="1"/>
      </rPr>
      <t xml:space="preserve">Judicial Magistrate, </t>
    </r>
    <r>
      <rPr>
        <sz val="11"/>
        <color rgb="FF0F0F0F"/>
        <rFont val="Times New Roman"/>
        <family val="1"/>
      </rPr>
      <t>F'</t>
    </r>
    <r>
      <rPr>
        <sz val="11"/>
        <color rgb="FF070707"/>
        <rFont val="Times New Roman"/>
        <family val="1"/>
      </rPr>
      <t xml:space="preserve">irst </t>
    </r>
    <r>
      <rPr>
        <sz val="11"/>
        <rFont val="Times New Roman"/>
        <family val="1"/>
      </rPr>
      <t>Class, Shrigonda  - 413 701</t>
    </r>
  </si>
  <si>
    <r>
      <rPr>
        <sz val="11"/>
        <color rgb="FF212121"/>
        <rFont val="Times New Roman"/>
        <family val="1"/>
      </rPr>
      <t xml:space="preserve">     </t>
    </r>
    <r>
      <rPr>
        <sz val="11"/>
        <rFont val="Times New Roman"/>
        <family val="1"/>
      </rPr>
      <t>Akola</t>
    </r>
  </si>
  <si>
    <r>
      <rPr>
        <sz val="11"/>
        <color rgb="FF080808"/>
        <rFont val="Times New Roman"/>
        <family val="1"/>
      </rPr>
      <t xml:space="preserve">Civil </t>
    </r>
    <r>
      <rPr>
        <sz val="11"/>
        <rFont val="Times New Roman"/>
        <family val="1"/>
      </rPr>
      <t xml:space="preserve">and Criminal  Court Near Tahshil  Office
</t>
    </r>
    <r>
      <rPr>
        <sz val="11"/>
        <color rgb="FF080808"/>
        <rFont val="Times New Roman"/>
        <family val="1"/>
      </rPr>
      <t>M</t>
    </r>
    <r>
      <rPr>
        <sz val="11"/>
        <rFont val="Times New Roman"/>
        <family val="1"/>
      </rPr>
      <t>agrulpir Road,  Barshitakli-444 °01</t>
    </r>
  </si>
  <si>
    <r>
      <rPr>
        <sz val="11"/>
        <rFont val="Times New Roman"/>
        <family val="1"/>
      </rPr>
      <t xml:space="preserve">Civil </t>
    </r>
    <r>
      <rPr>
        <sz val="11"/>
        <color rgb="FF0A0A0A"/>
        <rFont val="Times New Roman"/>
        <family val="1"/>
      </rPr>
      <t xml:space="preserve">and </t>
    </r>
    <r>
      <rPr>
        <sz val="11"/>
        <rFont val="Times New Roman"/>
        <family val="1"/>
      </rPr>
      <t xml:space="preserve">Criminal Court, Washim Road,
Patur </t>
    </r>
    <r>
      <rPr>
        <sz val="11"/>
        <color rgb="FF0A0A0A"/>
        <rFont val="Times New Roman"/>
        <family val="1"/>
      </rPr>
      <t xml:space="preserve">- </t>
    </r>
    <r>
      <rPr>
        <sz val="11"/>
        <rFont val="Times New Roman"/>
        <family val="1"/>
      </rPr>
      <t>444 501</t>
    </r>
  </si>
  <si>
    <r>
      <rPr>
        <sz val="11"/>
        <color rgb="FF0C0C0C"/>
        <rFont val="Times New Roman"/>
        <family val="1"/>
      </rPr>
      <t xml:space="preserve">     </t>
    </r>
    <r>
      <rPr>
        <sz val="11"/>
        <rFont val="Times New Roman"/>
        <family val="1"/>
      </rPr>
      <t>Amravati</t>
    </r>
  </si>
  <si>
    <r>
      <rPr>
        <sz val="11"/>
        <rFont val="Times New Roman"/>
        <family val="1"/>
      </rPr>
      <t xml:space="preserve">District  </t>
    </r>
    <r>
      <rPr>
        <sz val="11"/>
        <color rgb="FF0F0F0F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Sessions Court, Camp, Amravati </t>
    </r>
    <r>
      <rPr>
        <sz val="11"/>
        <color rgb="FF131313"/>
        <rFont val="Times New Roman"/>
        <family val="1"/>
      </rPr>
      <t xml:space="preserve">-
</t>
    </r>
    <r>
      <rPr>
        <sz val="11"/>
        <color rgb="FF1A1A1A"/>
        <rFont val="Times New Roman"/>
        <family val="1"/>
      </rPr>
      <t xml:space="preserve">444 </t>
    </r>
    <r>
      <rPr>
        <sz val="11"/>
        <color rgb="FF0A0A0A"/>
        <rFont val="Times New Roman"/>
        <family val="1"/>
      </rPr>
      <t>602</t>
    </r>
  </si>
  <si>
    <r>
      <rPr>
        <sz val="11"/>
        <color rgb="FF0A0A0A"/>
        <rFont val="Times New Roman"/>
        <family val="1"/>
      </rPr>
      <t xml:space="preserve">Civil </t>
    </r>
    <r>
      <rPr>
        <sz val="11"/>
        <rFont val="Times New Roman"/>
        <family val="1"/>
      </rPr>
      <t xml:space="preserve">&amp; Criminal Court, Dharni • 444 </t>
    </r>
    <r>
      <rPr>
        <sz val="11"/>
        <color rgb="FF0C0C0C"/>
        <rFont val="Times New Roman"/>
        <family val="1"/>
      </rPr>
      <t>7O2</t>
    </r>
  </si>
  <si>
    <r>
      <rPr>
        <sz val="11"/>
        <color rgb="FF0C0C0C"/>
        <rFont val="Times New Roman"/>
        <family val="1"/>
      </rPr>
      <t xml:space="preserve">Civil </t>
    </r>
    <r>
      <rPr>
        <sz val="11"/>
        <color rgb="FF161616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Criminal Court, Nandgaon
Khandeshwar  </t>
    </r>
    <r>
      <rPr>
        <sz val="11"/>
        <color rgb="FF282828"/>
        <rFont val="Times New Roman"/>
        <family val="1"/>
      </rPr>
      <t xml:space="preserve">- </t>
    </r>
    <r>
      <rPr>
        <sz val="11"/>
        <rFont val="Times New Roman"/>
        <family val="1"/>
      </rPr>
      <t>444 708</t>
    </r>
  </si>
  <si>
    <r>
      <rPr>
        <sz val="11"/>
        <rFont val="Times New Roman"/>
        <family val="1"/>
      </rPr>
      <t xml:space="preserve">Industrial  </t>
    </r>
    <r>
      <rPr>
        <sz val="11"/>
        <color rgb="FF111111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Labour Court, </t>
    </r>
    <r>
      <rPr>
        <sz val="11"/>
        <color rgb="FF080808"/>
        <rFont val="Times New Roman"/>
        <family val="1"/>
      </rPr>
      <t xml:space="preserve">Old </t>
    </r>
    <r>
      <rPr>
        <sz val="11"/>
        <rFont val="Times New Roman"/>
        <family val="1"/>
      </rPr>
      <t xml:space="preserve">District  Court Building Premises, Opposite  Collector Office, Camp area, Amravati </t>
    </r>
    <r>
      <rPr>
        <sz val="11"/>
        <color rgb="FF0A0A0A"/>
        <rFont val="Times New Roman"/>
        <family val="1"/>
      </rPr>
      <t xml:space="preserve">- </t>
    </r>
    <r>
      <rPr>
        <sz val="11"/>
        <color rgb="FF080808"/>
        <rFont val="Times New Roman"/>
        <family val="1"/>
      </rPr>
      <t xml:space="preserve">444 </t>
    </r>
    <r>
      <rPr>
        <sz val="11"/>
        <rFont val="Times New Roman"/>
        <family val="1"/>
      </rPr>
      <t>602</t>
    </r>
  </si>
  <si>
    <r>
      <rPr>
        <sz val="11"/>
        <rFont val="Times New Roman"/>
        <family val="1"/>
      </rPr>
      <t xml:space="preserve">Court </t>
    </r>
    <r>
      <rPr>
        <sz val="11"/>
        <color rgb="FF070707"/>
        <rFont val="Times New Roman"/>
        <family val="1"/>
      </rPr>
      <t xml:space="preserve">of </t>
    </r>
    <r>
      <rPr>
        <sz val="11"/>
        <color rgb="FF080808"/>
        <rFont val="Times New Roman"/>
        <family val="1"/>
      </rPr>
      <t xml:space="preserve">Civil </t>
    </r>
    <r>
      <rPr>
        <sz val="11"/>
        <color rgb="FF0C0C0C"/>
        <rFont val="Times New Roman"/>
        <family val="1"/>
      </rPr>
      <t xml:space="preserve">Judge, </t>
    </r>
    <r>
      <rPr>
        <sz val="11"/>
        <rFont val="Times New Roman"/>
        <family val="1"/>
      </rPr>
      <t xml:space="preserve">Junior Division &amp;
judicial Magistrate, Hirst Class, Court </t>
    </r>
    <r>
      <rPr>
        <sz val="11"/>
        <color rgb="FF0A0A0A"/>
        <rFont val="Times New Roman"/>
        <family val="1"/>
      </rPr>
      <t>Campus </t>
    </r>
    <r>
      <rPr>
        <sz val="11"/>
        <rFont val="Times New Roman"/>
        <family val="1"/>
      </rPr>
      <t xml:space="preserve">Khultahad, Khultabad  - 431 </t>
    </r>
    <r>
      <rPr>
        <sz val="11"/>
        <color rgb="FF0A0A0A"/>
        <rFont val="Times New Roman"/>
        <family val="1"/>
      </rPr>
      <t>101</t>
    </r>
  </si>
  <si>
    <r>
      <rPr>
        <sz val="11"/>
        <rFont val="Times New Roman"/>
        <family val="1"/>
      </rPr>
      <t xml:space="preserve">Presiding  Officer,  School </t>
    </r>
    <r>
      <rPr>
        <sz val="11"/>
        <color rgb="FF0A0A0A"/>
        <rFont val="Times New Roman"/>
        <family val="1"/>
      </rPr>
      <t xml:space="preserve">Tribunal,  </t>
    </r>
    <r>
      <rPr>
        <sz val="11"/>
        <rFont val="Times New Roman"/>
        <family val="1"/>
      </rPr>
      <t xml:space="preserve">Praudh </t>
    </r>
    <r>
      <rPr>
        <sz val="11"/>
        <color rgb="FF080808"/>
        <rFont val="Times New Roman"/>
        <family val="1"/>
      </rPr>
      <t xml:space="preserve">Shikshan </t>
    </r>
    <r>
      <rPr>
        <sz val="11"/>
        <rFont val="Times New Roman"/>
        <family val="1"/>
      </rPr>
      <t>Building,  Station Road, East Side Padampura  Signal, Opp.Gov  Public School, Auran</t>
    </r>
    <r>
      <rPr>
        <sz val="11"/>
        <color rgb="FF0A0A0A"/>
        <rFont val="Times New Roman"/>
        <family val="1"/>
      </rPr>
      <t>agabd  </t>
    </r>
    <r>
      <rPr>
        <sz val="11"/>
        <color rgb="FF080808"/>
        <rFont val="Times New Roman"/>
        <family val="1"/>
      </rPr>
      <t>: </t>
    </r>
    <r>
      <rPr>
        <sz val="11"/>
        <color rgb="FF0C0C0C"/>
        <rFont val="Times New Roman"/>
        <family val="1"/>
      </rPr>
      <t>A3</t>
    </r>
    <r>
      <rPr>
        <sz val="11"/>
        <color rgb="FF505050"/>
        <rFont val="Times New Roman"/>
        <family val="1"/>
      </rPr>
      <t>1 </t>
    </r>
    <r>
      <rPr>
        <sz val="11"/>
        <color rgb="FF080808"/>
        <rFont val="Times New Roman"/>
        <family val="1"/>
      </rPr>
      <t>001              </t>
    </r>
  </si>
  <si>
    <r>
      <rPr>
        <sz val="11"/>
        <color rgb="FF161616"/>
        <rFont val="Times New Roman"/>
        <family val="1"/>
      </rPr>
      <t>Beed</t>
    </r>
  </si>
  <si>
    <r>
      <rPr>
        <sz val="11"/>
        <color rgb="FF0A0A0A"/>
        <rFont val="Times New Roman"/>
        <family val="1"/>
      </rPr>
      <t>Beed</t>
    </r>
  </si>
  <si>
    <r>
      <rPr>
        <sz val="11"/>
        <color rgb="FF080808"/>
        <rFont val="Times New Roman"/>
        <family val="1"/>
      </rPr>
      <t>Beed</t>
    </r>
  </si>
  <si>
    <r>
      <rPr>
        <sz val="11"/>
        <rFont val="Times New Roman"/>
        <family val="1"/>
      </rPr>
      <t xml:space="preserve">Court </t>
    </r>
    <r>
      <rPr>
        <sz val="11"/>
        <color rgb="FF0C0C0C"/>
        <rFont val="Times New Roman"/>
        <family val="1"/>
      </rPr>
      <t xml:space="preserve">of </t>
    </r>
    <r>
      <rPr>
        <sz val="11"/>
        <rFont val="Times New Roman"/>
        <family val="1"/>
      </rPr>
      <t xml:space="preserve">Civil Judge, Junior Division  </t>
    </r>
    <r>
      <rPr>
        <sz val="11"/>
        <color rgb="FF161616"/>
        <rFont val="Times New Roman"/>
        <family val="1"/>
      </rPr>
      <t xml:space="preserve">&amp;
</t>
    </r>
    <r>
      <rPr>
        <sz val="11"/>
        <rFont val="Times New Roman"/>
        <family val="1"/>
      </rPr>
      <t xml:space="preserve">Judicial  Magistrate, First </t>
    </r>
    <r>
      <rPr>
        <sz val="11"/>
        <color rgb="FF0C0C0C"/>
        <rFont val="Times New Roman"/>
        <family val="1"/>
      </rPr>
      <t xml:space="preserve">Class, Nagar </t>
    </r>
    <r>
      <rPr>
        <sz val="11"/>
        <rFont val="Times New Roman"/>
        <family val="1"/>
      </rPr>
      <t xml:space="preserve">Road, Ashti </t>
    </r>
    <r>
      <rPr>
        <sz val="11"/>
        <color rgb="FF262626"/>
        <rFont val="Times New Roman"/>
        <family val="1"/>
      </rPr>
      <t xml:space="preserve">- </t>
    </r>
    <r>
      <rPr>
        <sz val="11"/>
        <rFont val="Times New Roman"/>
        <family val="1"/>
      </rPr>
      <t xml:space="preserve">414 </t>
    </r>
    <r>
      <rPr>
        <sz val="11"/>
        <color rgb="FF0C0C0C"/>
        <rFont val="Times New Roman"/>
        <family val="1"/>
      </rPr>
      <t>203</t>
    </r>
  </si>
  <si>
    <r>
      <rPr>
        <sz val="11"/>
        <rFont val="Times New Roman"/>
        <family val="1"/>
      </rPr>
      <t xml:space="preserve">Court of Civil Judge, Junior </t>
    </r>
    <r>
      <rPr>
        <sz val="11"/>
        <color rgb="FF050505"/>
        <rFont val="Times New Roman"/>
        <family val="1"/>
      </rPr>
      <t xml:space="preserve">Division </t>
    </r>
    <r>
      <rPr>
        <sz val="11"/>
        <color rgb="FF111111"/>
        <rFont val="Times New Roman"/>
        <family val="1"/>
      </rPr>
      <t xml:space="preserve">&amp;
</t>
    </r>
    <r>
      <rPr>
        <sz val="11"/>
        <rFont val="Times New Roman"/>
        <family val="1"/>
      </rPr>
      <t xml:space="preserve">Judicial Magistrate, first Class, Dharur - </t>
    </r>
    <r>
      <rPr>
        <sz val="11"/>
        <color rgb="FF0A0A0A"/>
        <rFont val="Times New Roman"/>
        <family val="1"/>
      </rPr>
      <t>43</t>
    </r>
    <r>
      <rPr>
        <sz val="11"/>
        <color rgb="FF4B4B4B"/>
        <rFont val="Times New Roman"/>
        <family val="1"/>
      </rPr>
      <t xml:space="preserve">I </t>
    </r>
    <r>
      <rPr>
        <sz val="11"/>
        <color rgb="FF080808"/>
        <rFont val="Times New Roman"/>
        <family val="1"/>
      </rPr>
      <t>124</t>
    </r>
  </si>
  <si>
    <r>
      <rPr>
        <sz val="11"/>
        <rFont val="Times New Roman"/>
        <family val="1"/>
      </rPr>
      <t xml:space="preserve">District  Judge-1  &amp; Addinonal Sessions Judge, </t>
    </r>
    <r>
      <rPr>
        <sz val="11"/>
        <color rgb="FF111111"/>
        <rFont val="Times New Roman"/>
        <family val="1"/>
      </rPr>
      <t xml:space="preserve">Kaij </t>
    </r>
    <r>
      <rPr>
        <sz val="11"/>
        <color rgb="FF2D2D2D"/>
        <rFont val="Times New Roman"/>
        <family val="1"/>
      </rPr>
      <t xml:space="preserve">- </t>
    </r>
    <r>
      <rPr>
        <sz val="11"/>
        <color rgb="FF0F0F0F"/>
        <rFont val="Times New Roman"/>
        <family val="1"/>
      </rPr>
      <t>43</t>
    </r>
    <r>
      <rPr>
        <sz val="11"/>
        <color rgb="FF383838"/>
        <rFont val="Times New Roman"/>
        <family val="1"/>
      </rPr>
      <t xml:space="preserve">4  </t>
    </r>
    <r>
      <rPr>
        <sz val="11"/>
        <color rgb="FF1F1F1F"/>
        <rFont val="Times New Roman"/>
        <family val="1"/>
      </rPr>
      <t xml:space="preserve">4 </t>
    </r>
    <r>
      <rPr>
        <sz val="11"/>
        <color rgb="FF080808"/>
        <rFont val="Times New Roman"/>
        <family val="1"/>
      </rPr>
      <t>23</t>
    </r>
  </si>
  <si>
    <r>
      <rPr>
        <sz val="11"/>
        <color rgb="FF0A0A0A"/>
        <rFont val="Times New Roman"/>
        <family val="1"/>
      </rPr>
      <t>Bhandara</t>
    </r>
  </si>
  <si>
    <r>
      <rPr>
        <sz val="11"/>
        <color rgb="FF080808"/>
        <rFont val="Times New Roman"/>
        <family val="1"/>
      </rPr>
      <t>Buldana</t>
    </r>
  </si>
  <si>
    <r>
      <rPr>
        <sz val="11"/>
        <rFont val="Times New Roman"/>
        <family val="1"/>
      </rPr>
      <t xml:space="preserve">Court </t>
    </r>
    <r>
      <rPr>
        <sz val="11"/>
        <color rgb="FF1F1F1F"/>
        <rFont val="Times New Roman"/>
        <family val="1"/>
      </rPr>
      <t xml:space="preserve">of </t>
    </r>
    <r>
      <rPr>
        <sz val="11"/>
        <rFont val="Times New Roman"/>
        <family val="1"/>
      </rPr>
      <t xml:space="preserve">Civil </t>
    </r>
    <r>
      <rPr>
        <sz val="11"/>
        <color rgb="FF0A0A0A"/>
        <rFont val="Times New Roman"/>
        <family val="1"/>
      </rPr>
      <t xml:space="preserve">Judge, </t>
    </r>
    <r>
      <rPr>
        <sz val="11"/>
        <rFont val="Times New Roman"/>
        <family val="1"/>
      </rPr>
      <t>Junior Division,
Shegaon - 444 203                 </t>
    </r>
  </si>
  <si>
    <r>
      <rPr>
        <sz val="11"/>
        <color rgb="FF0C0C0C"/>
        <rFont val="Times New Roman"/>
        <family val="1"/>
      </rPr>
      <t>Dhule</t>
    </r>
  </si>
  <si>
    <r>
      <t xml:space="preserve">Districr </t>
    </r>
    <r>
      <rPr>
        <sz val="11"/>
        <color rgb="FF181818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Sessions </t>
    </r>
    <r>
      <rPr>
        <sz val="11"/>
        <color rgb="FF0A0A0A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Dhule </t>
    </r>
    <r>
      <rPr>
        <sz val="11"/>
        <color rgb="FF2D2D2D"/>
        <rFont val="Times New Roman"/>
        <family val="1"/>
      </rPr>
      <t xml:space="preserve">- </t>
    </r>
    <r>
      <rPr>
        <sz val="11"/>
        <rFont val="Times New Roman"/>
        <family val="1"/>
      </rPr>
      <t xml:space="preserve">424 </t>
    </r>
    <r>
      <rPr>
        <sz val="11"/>
        <color rgb="FF080808"/>
        <rFont val="Times New Roman"/>
        <family val="1"/>
      </rPr>
      <t>001</t>
    </r>
  </si>
  <si>
    <r>
      <rPr>
        <sz val="11"/>
        <rFont val="Times New Roman"/>
        <family val="1"/>
      </rPr>
      <t xml:space="preserve">District  </t>
    </r>
    <r>
      <rPr>
        <sz val="11"/>
        <color rgb="FF0F0F0F"/>
        <rFont val="Times New Roman"/>
        <family val="1"/>
      </rPr>
      <t xml:space="preserve">and  </t>
    </r>
    <r>
      <rPr>
        <sz val="11"/>
        <color rgb="FF0C0C0C"/>
        <rFont val="Times New Roman"/>
        <family val="1"/>
      </rPr>
      <t xml:space="preserve">Additinal  </t>
    </r>
    <r>
      <rPr>
        <sz val="11"/>
        <rFont val="Times New Roman"/>
        <family val="1"/>
      </rPr>
      <t xml:space="preserve">Sessions </t>
    </r>
    <r>
      <rPr>
        <sz val="11"/>
        <color rgb="FF0E0E0E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Aheri  </t>
    </r>
    <r>
      <rPr>
        <sz val="11"/>
        <color rgb="FF0A0A0A"/>
        <rFont val="Times New Roman"/>
        <family val="1"/>
      </rPr>
      <t xml:space="preserve">- </t>
    </r>
    <r>
      <rPr>
        <sz val="11"/>
        <color rgb="FF151515"/>
        <rFont val="Times New Roman"/>
        <family val="1"/>
      </rPr>
      <t xml:space="preserve">442 </t>
    </r>
    <r>
      <rPr>
        <sz val="11"/>
        <color rgb="FF0E0E0E"/>
        <rFont val="Times New Roman"/>
        <family val="1"/>
      </rPr>
      <t>703</t>
    </r>
  </si>
  <si>
    <r>
      <rPr>
        <sz val="11"/>
        <rFont val="Times New Roman"/>
        <family val="1"/>
      </rPr>
      <t xml:space="preserve">District  </t>
    </r>
    <r>
      <rPr>
        <sz val="11"/>
        <color rgb="FF0F0F0F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Additional  Sessions  Court, C.S. No.4302, Near Panchayat  Samiti Office, Bhusawal </t>
    </r>
    <r>
      <rPr>
        <sz val="11"/>
        <color rgb="FF1A1A1A"/>
        <rFont val="Times New Roman"/>
        <family val="1"/>
      </rPr>
      <t xml:space="preserve">— </t>
    </r>
    <r>
      <rPr>
        <sz val="11"/>
        <color rgb="FF050505"/>
        <rFont val="Times New Roman"/>
        <family val="1"/>
      </rPr>
      <t xml:space="preserve">42S </t>
    </r>
    <r>
      <rPr>
        <sz val="11"/>
        <color rgb="FF111111"/>
        <rFont val="Times New Roman"/>
        <family val="1"/>
      </rPr>
      <t>201</t>
    </r>
  </si>
  <si>
    <r>
      <rPr>
        <sz val="11"/>
        <color rgb="FF0E0E0E"/>
        <rFont val="Times New Roman"/>
        <family val="1"/>
      </rPr>
      <t>Jalgaon</t>
    </r>
  </si>
  <si>
    <r>
      <rPr>
        <sz val="11"/>
        <color rgb="FF111111"/>
        <rFont val="Times New Roman"/>
        <family val="1"/>
      </rPr>
      <t xml:space="preserve">Civil </t>
    </r>
    <r>
      <rPr>
        <sz val="11"/>
        <color rgb="FF070707"/>
        <rFont val="Times New Roman"/>
        <family val="1"/>
      </rPr>
      <t xml:space="preserve">cum </t>
    </r>
    <r>
      <rPr>
        <sz val="11"/>
        <rFont val="Times New Roman"/>
        <family val="1"/>
      </rPr>
      <t xml:space="preserve">Criminal  Court, </t>
    </r>
    <r>
      <rPr>
        <sz val="11"/>
        <color rgb="FF050505"/>
        <rFont val="Times New Roman"/>
        <family val="1"/>
      </rPr>
      <t xml:space="preserve">Mhasawad  </t>
    </r>
    <r>
      <rPr>
        <sz val="11"/>
        <color rgb="FF080808"/>
        <rFont val="Times New Roman"/>
        <family val="1"/>
      </rPr>
      <t xml:space="preserve">Road, </t>
    </r>
    <r>
      <rPr>
        <sz val="11"/>
        <rFont val="Times New Roman"/>
        <family val="1"/>
      </rPr>
      <t xml:space="preserve">Erandol </t>
    </r>
    <r>
      <rPr>
        <sz val="11"/>
        <color rgb="FF232323"/>
        <rFont val="Times New Roman"/>
        <family val="1"/>
      </rPr>
      <t xml:space="preserve">- </t>
    </r>
    <r>
      <rPr>
        <sz val="11"/>
        <color rgb="FF161616"/>
        <rFont val="Times New Roman"/>
        <family val="1"/>
      </rPr>
      <t>425 109</t>
    </r>
  </si>
  <si>
    <r>
      <rPr>
        <sz val="11"/>
        <color rgb="FF1C1C1C"/>
        <rFont val="Times New Roman"/>
        <family val="1"/>
      </rPr>
      <t>Jalgaon</t>
    </r>
  </si>
  <si>
    <r>
      <rPr>
        <sz val="11"/>
        <rFont val="Times New Roman"/>
        <family val="1"/>
      </rPr>
      <t xml:space="preserve">Cii'i1 </t>
    </r>
    <r>
      <rPr>
        <sz val="11"/>
        <color rgb="FF1A1A1A"/>
        <rFont val="Times New Roman"/>
        <family val="1"/>
      </rPr>
      <t xml:space="preserve">cum </t>
    </r>
    <r>
      <rPr>
        <sz val="11"/>
        <color rgb="FF0C0C0C"/>
        <rFont val="Times New Roman"/>
        <family val="1"/>
      </rPr>
      <t xml:space="preserve">Crimi </t>
    </r>
    <r>
      <rPr>
        <sz val="11"/>
        <color rgb="FF111111"/>
        <rFont val="Times New Roman"/>
        <family val="1"/>
      </rPr>
      <t xml:space="preserve">nal </t>
    </r>
    <r>
      <rPr>
        <sz val="11"/>
        <rFont val="Times New Roman"/>
        <family val="1"/>
      </rPr>
      <t xml:space="preserve">Court,  Waki </t>
    </r>
    <r>
      <rPr>
        <sz val="11"/>
        <color rgb="FF0F0F0F"/>
        <rFont val="Times New Roman"/>
        <family val="1"/>
      </rPr>
      <t xml:space="preserve">Road, </t>
    </r>
    <r>
      <rPr>
        <sz val="11"/>
        <rFont val="Times New Roman"/>
        <family val="1"/>
      </rPr>
      <t xml:space="preserve">Behind
</t>
    </r>
    <r>
      <rPr>
        <sz val="11"/>
        <color rgb="FF0F0F0F"/>
        <rFont val="Times New Roman"/>
        <family val="1"/>
      </rPr>
      <t xml:space="preserve">S.T. </t>
    </r>
    <r>
      <rPr>
        <sz val="11"/>
        <color rgb="FF4D4D4D"/>
        <rFont val="Times New Roman"/>
        <family val="1"/>
      </rPr>
      <t>S</t>
    </r>
    <r>
      <rPr>
        <sz val="11"/>
        <color rgb="FF0C0C0C"/>
        <rFont val="Times New Roman"/>
        <family val="1"/>
      </rPr>
      <t xml:space="preserve">rand. </t>
    </r>
    <r>
      <rPr>
        <sz val="11"/>
        <color rgb="FF212121"/>
        <rFont val="Times New Roman"/>
        <family val="1"/>
      </rPr>
      <t xml:space="preserve">Jamner </t>
    </r>
    <r>
      <rPr>
        <sz val="11"/>
        <color rgb="FF4F4F4F"/>
        <rFont val="Times New Roman"/>
        <family val="1"/>
      </rPr>
      <t xml:space="preserve">- </t>
    </r>
    <r>
      <rPr>
        <sz val="11"/>
        <color rgb="FF131313"/>
        <rFont val="Times New Roman"/>
        <family val="1"/>
      </rPr>
      <t xml:space="preserve">424 </t>
    </r>
    <r>
      <rPr>
        <sz val="11"/>
        <color rgb="FF161616"/>
        <rFont val="Times New Roman"/>
        <family val="1"/>
      </rPr>
      <t>206</t>
    </r>
  </si>
  <si>
    <r>
      <rPr>
        <sz val="11"/>
        <color rgb="FF0C0C0C"/>
        <rFont val="Times New Roman"/>
        <family val="1"/>
      </rPr>
      <t>Jalgaon</t>
    </r>
  </si>
  <si>
    <r>
      <rPr>
        <sz val="11"/>
        <color rgb="FF131313"/>
        <rFont val="Times New Roman"/>
        <family val="1"/>
      </rPr>
      <t xml:space="preserve">Civil </t>
    </r>
    <r>
      <rPr>
        <sz val="11"/>
        <color rgb="FF151515"/>
        <rFont val="Times New Roman"/>
        <family val="1"/>
      </rPr>
      <t xml:space="preserve">cum </t>
    </r>
    <r>
      <rPr>
        <sz val="11"/>
        <color rgb="FF0F0F0F"/>
        <rFont val="Times New Roman"/>
        <family val="1"/>
      </rPr>
      <t xml:space="preserve">Criminal  </t>
    </r>
    <r>
      <rPr>
        <sz val="11"/>
        <color rgb="FF1A1A1A"/>
        <rFont val="Times New Roman"/>
        <family val="1"/>
      </rPr>
      <t xml:space="preserve">Court, </t>
    </r>
    <r>
      <rPr>
        <sz val="11"/>
        <color rgb="FF262626"/>
        <rFont val="Times New Roman"/>
        <family val="1"/>
      </rPr>
      <t xml:space="preserve">G </t>
    </r>
    <r>
      <rPr>
        <sz val="11"/>
        <color rgb="FF1F1F1F"/>
        <rFont val="Times New Roman"/>
        <family val="1"/>
      </rPr>
      <t xml:space="preserve">irad </t>
    </r>
    <r>
      <rPr>
        <sz val="11"/>
        <color rgb="FF131313"/>
        <rFont val="Times New Roman"/>
        <family val="1"/>
      </rPr>
      <t xml:space="preserve">Road,
</t>
    </r>
    <r>
      <rPr>
        <sz val="11"/>
        <color rgb="FF080808"/>
        <rFont val="Times New Roman"/>
        <family val="1"/>
      </rPr>
      <t>I</t>
    </r>
    <r>
      <rPr>
        <sz val="11"/>
        <color rgb="FF111111"/>
        <rFont val="Times New Roman"/>
        <family val="1"/>
      </rPr>
      <t>I</t>
    </r>
    <r>
      <rPr>
        <sz val="11"/>
        <rFont val="Times New Roman"/>
        <family val="1"/>
      </rPr>
      <t xml:space="preserve">antiman  </t>
    </r>
    <r>
      <rPr>
        <sz val="11"/>
        <color rgb="FF131313"/>
        <rFont val="Times New Roman"/>
        <family val="1"/>
      </rPr>
      <t xml:space="preserve">Wadi, </t>
    </r>
    <r>
      <rPr>
        <sz val="11"/>
        <color rgb="FF0F0F0F"/>
        <rFont val="Times New Roman"/>
        <family val="1"/>
      </rPr>
      <t xml:space="preserve">Pachora </t>
    </r>
    <r>
      <rPr>
        <sz val="11"/>
        <color rgb="FF2A2A2A"/>
        <rFont val="Times New Roman"/>
        <family val="1"/>
      </rPr>
      <t xml:space="preserve">- </t>
    </r>
    <r>
      <rPr>
        <sz val="11"/>
        <color rgb="FF181818"/>
        <rFont val="Times New Roman"/>
        <family val="1"/>
      </rPr>
      <t xml:space="preserve">424 </t>
    </r>
    <r>
      <rPr>
        <sz val="11"/>
        <color rgb="FF212121"/>
        <rFont val="Times New Roman"/>
        <family val="1"/>
      </rPr>
      <t>201</t>
    </r>
  </si>
  <si>
    <r>
      <rPr>
        <sz val="11"/>
        <color rgb="FF111111"/>
        <rFont val="Times New Roman"/>
        <family val="1"/>
      </rPr>
      <t xml:space="preserve">Civil </t>
    </r>
    <r>
      <rPr>
        <sz val="11"/>
        <color rgb="FF080808"/>
        <rFont val="Times New Roman"/>
        <family val="1"/>
      </rPr>
      <t xml:space="preserve">cum </t>
    </r>
    <r>
      <rPr>
        <sz val="11"/>
        <rFont val="Times New Roman"/>
        <family val="1"/>
      </rPr>
      <t xml:space="preserve">Criminal Court, </t>
    </r>
    <r>
      <rPr>
        <sz val="11"/>
        <color rgb="FF0A0A0A"/>
        <rFont val="Times New Roman"/>
        <family val="1"/>
      </rPr>
      <t xml:space="preserve">cat  </t>
    </r>
    <r>
      <rPr>
        <sz val="11"/>
        <rFont val="Times New Roman"/>
        <family val="1"/>
      </rPr>
      <t xml:space="preserve">No. 581,
Jamthi </t>
    </r>
    <r>
      <rPr>
        <sz val="11"/>
        <color rgb="FF080808"/>
        <rFont val="Times New Roman"/>
        <family val="1"/>
      </rPr>
      <t xml:space="preserve">Road, </t>
    </r>
    <r>
      <rPr>
        <sz val="11"/>
        <color rgb="FF0A0A0A"/>
        <rFont val="Times New Roman"/>
        <family val="1"/>
      </rPr>
      <t xml:space="preserve">Bodwad </t>
    </r>
    <r>
      <rPr>
        <sz val="11"/>
        <color rgb="FF161616"/>
        <rFont val="Times New Roman"/>
        <family val="1"/>
      </rPr>
      <t xml:space="preserve">- </t>
    </r>
    <r>
      <rPr>
        <sz val="11"/>
        <color rgb="FF080808"/>
        <rFont val="Times New Roman"/>
        <family val="1"/>
      </rPr>
      <t xml:space="preserve">425 </t>
    </r>
    <r>
      <rPr>
        <sz val="11"/>
        <rFont val="Times New Roman"/>
        <family val="1"/>
      </rPr>
      <t>310</t>
    </r>
  </si>
  <si>
    <r>
      <rPr>
        <sz val="11"/>
        <color rgb="FF080808"/>
        <rFont val="Times New Roman"/>
        <family val="1"/>
      </rPr>
      <t xml:space="preserve">Additional  </t>
    </r>
    <r>
      <rPr>
        <sz val="11"/>
        <rFont val="Times New Roman"/>
        <family val="1"/>
      </rPr>
      <t xml:space="preserve">District </t>
    </r>
    <r>
      <rPr>
        <sz val="11"/>
        <color rgb="FF080808"/>
        <rFont val="Times New Roman"/>
        <family val="1"/>
      </rPr>
      <t xml:space="preserve">Court, Near </t>
    </r>
    <r>
      <rPr>
        <sz val="11"/>
        <color rgb="FF0A0A0A"/>
        <rFont val="Times New Roman"/>
        <family val="1"/>
      </rPr>
      <t xml:space="preserve">BSNL Office,
</t>
    </r>
    <r>
      <rPr>
        <sz val="11"/>
        <rFont val="Times New Roman"/>
        <family val="1"/>
      </rPr>
      <t xml:space="preserve">Ambad </t>
    </r>
    <r>
      <rPr>
        <sz val="11"/>
        <color rgb="FF131313"/>
        <rFont val="Times New Roman"/>
        <family val="1"/>
      </rPr>
      <t xml:space="preserve">— </t>
    </r>
    <r>
      <rPr>
        <sz val="11"/>
        <rFont val="Times New Roman"/>
        <family val="1"/>
      </rPr>
      <t xml:space="preserve">431  </t>
    </r>
    <r>
      <rPr>
        <sz val="11"/>
        <color rgb="FF0C0C0C"/>
        <rFont val="Times New Roman"/>
        <family val="1"/>
      </rPr>
      <t>204</t>
    </r>
  </si>
  <si>
    <r>
      <rPr>
        <sz val="11"/>
        <color rgb="FF050505"/>
        <rFont val="Times New Roman"/>
        <family val="1"/>
      </rPr>
      <t>Mumbai</t>
    </r>
  </si>
  <si>
    <r>
      <rPr>
        <sz val="11"/>
        <rFont val="Times New Roman"/>
        <family val="1"/>
      </rPr>
      <t xml:space="preserve">City Civil </t>
    </r>
    <r>
      <rPr>
        <sz val="11"/>
        <color rgb="FF1D1D1D"/>
        <rFont val="Times New Roman"/>
        <family val="1"/>
      </rPr>
      <t xml:space="preserve">&amp; </t>
    </r>
    <r>
      <rPr>
        <sz val="11"/>
        <color rgb="FF070707"/>
        <rFont val="Times New Roman"/>
        <family val="1"/>
      </rPr>
      <t xml:space="preserve">Sessions Court, </t>
    </r>
    <r>
      <rPr>
        <sz val="11"/>
        <rFont val="Times New Roman"/>
        <family val="1"/>
      </rPr>
      <t xml:space="preserve">Old </t>
    </r>
    <r>
      <rPr>
        <sz val="11"/>
        <color rgb="FF0C0C0C"/>
        <rFont val="Times New Roman"/>
        <family val="1"/>
      </rPr>
      <t xml:space="preserve">Secretariat
</t>
    </r>
    <r>
      <rPr>
        <sz val="11"/>
        <rFont val="Times New Roman"/>
        <family val="1"/>
      </rPr>
      <t xml:space="preserve">Building,  Mumbai </t>
    </r>
    <r>
      <rPr>
        <sz val="11"/>
        <color rgb="FF2F2F2F"/>
        <rFont val="Times New Roman"/>
        <family val="1"/>
      </rPr>
      <t xml:space="preserve">- </t>
    </r>
    <r>
      <rPr>
        <sz val="11"/>
        <color rgb="FF131313"/>
        <rFont val="Times New Roman"/>
        <family val="1"/>
      </rPr>
      <t xml:space="preserve">400 </t>
    </r>
    <r>
      <rPr>
        <sz val="11"/>
        <color rgb="FF0E0E0E"/>
        <rFont val="Times New Roman"/>
        <family val="1"/>
      </rPr>
      <t>032</t>
    </r>
  </si>
  <si>
    <r>
      <rPr>
        <sz val="11"/>
        <rFont val="Times New Roman"/>
        <family val="1"/>
      </rPr>
      <t xml:space="preserve">Ciry </t>
    </r>
    <r>
      <rPr>
        <sz val="11"/>
        <color rgb="FF0C0C0C"/>
        <rFont val="Times New Roman"/>
        <family val="1"/>
      </rPr>
      <t xml:space="preserve">Civil </t>
    </r>
    <r>
      <rPr>
        <sz val="11"/>
        <color rgb="FF0F0F0F"/>
        <rFont val="Times New Roman"/>
        <family val="1"/>
      </rPr>
      <t xml:space="preserve">and </t>
    </r>
    <r>
      <rPr>
        <sz val="11"/>
        <color rgb="FF0C0C0C"/>
        <rFont val="Times New Roman"/>
        <family val="1"/>
      </rPr>
      <t xml:space="preserve">Sessions </t>
    </r>
    <r>
      <rPr>
        <sz val="11"/>
        <color rgb="FF0A0A0A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Mazgoan Couri </t>
    </r>
    <r>
      <rPr>
        <sz val="11"/>
        <color rgb="FF050505"/>
        <rFont val="Times New Roman"/>
        <family val="1"/>
      </rPr>
      <t xml:space="preserve">Building, </t>
    </r>
    <r>
      <rPr>
        <sz val="11"/>
        <rFont val="Times New Roman"/>
        <family val="1"/>
      </rPr>
      <t xml:space="preserve">Mumbai </t>
    </r>
    <r>
      <rPr>
        <sz val="11"/>
        <color rgb="FF494949"/>
        <rFont val="Times New Roman"/>
        <family val="1"/>
      </rPr>
      <t xml:space="preserve">— </t>
    </r>
    <r>
      <rPr>
        <sz val="11"/>
        <color rgb="FF080808"/>
        <rFont val="Times New Roman"/>
        <family val="1"/>
      </rPr>
      <t>400 </t>
    </r>
    <r>
      <rPr>
        <sz val="11"/>
        <color rgb="FF0F0F0F"/>
        <rFont val="Times New Roman"/>
        <family val="1"/>
      </rPr>
      <t>010                               </t>
    </r>
  </si>
  <si>
    <r>
      <rPr>
        <sz val="11"/>
        <rFont val="Times New Roman"/>
        <family val="1"/>
      </rPr>
      <t xml:space="preserve">District  Judge </t>
    </r>
    <r>
      <rPr>
        <sz val="11"/>
        <color rgb="FF161616"/>
        <rFont val="Times New Roman"/>
        <family val="1"/>
      </rPr>
      <t xml:space="preserve">- </t>
    </r>
    <r>
      <rPr>
        <sz val="11"/>
        <color rgb="FF111111"/>
        <rFont val="Times New Roman"/>
        <family val="1"/>
      </rPr>
      <t xml:space="preserve">I,  </t>
    </r>
    <r>
      <rPr>
        <sz val="11"/>
        <rFont val="Times New Roman"/>
        <family val="1"/>
      </rPr>
      <t xml:space="preserve">Kandhar </t>
    </r>
    <r>
      <rPr>
        <sz val="11"/>
        <color rgb="FF1C1C1C"/>
        <rFont val="Times New Roman"/>
        <family val="1"/>
      </rPr>
      <t xml:space="preserve">- </t>
    </r>
    <r>
      <rPr>
        <sz val="11"/>
        <rFont val="Times New Roman"/>
        <family val="1"/>
      </rPr>
      <t>431714</t>
    </r>
  </si>
  <si>
    <r>
      <rPr>
        <sz val="11"/>
        <color rgb="FF111111"/>
        <rFont val="Times New Roman"/>
        <family val="1"/>
      </rPr>
      <t>Nanded</t>
    </r>
  </si>
  <si>
    <r>
      <rPr>
        <sz val="11"/>
        <color rgb="FF080808"/>
        <rFont val="Times New Roman"/>
        <family val="1"/>
      </rPr>
      <t xml:space="preserve">Court </t>
    </r>
    <r>
      <rPr>
        <sz val="11"/>
        <color rgb="FF050505"/>
        <rFont val="Times New Roman"/>
        <family val="1"/>
      </rPr>
      <t xml:space="preserve">of </t>
    </r>
    <r>
      <rPr>
        <sz val="11"/>
        <color rgb="FF0A0A0A"/>
        <rFont val="Times New Roman"/>
        <family val="1"/>
      </rPr>
      <t xml:space="preserve">Civil </t>
    </r>
    <r>
      <rPr>
        <sz val="11"/>
        <rFont val="Times New Roman"/>
        <family val="1"/>
      </rPr>
      <t xml:space="preserve">Judge, Junior Division </t>
    </r>
    <r>
      <rPr>
        <sz val="11"/>
        <color rgb="FF161616"/>
        <rFont val="Times New Roman"/>
        <family val="1"/>
      </rPr>
      <t xml:space="preserve">&amp;
</t>
    </r>
    <r>
      <rPr>
        <sz val="11"/>
        <rFont val="Times New Roman"/>
        <family val="1"/>
      </rPr>
      <t xml:space="preserve">Judicial Magistrate,  First Class, Akkalkuwa </t>
    </r>
    <r>
      <rPr>
        <sz val="11"/>
        <color rgb="FF111111"/>
        <rFont val="Times New Roman"/>
        <family val="1"/>
      </rPr>
      <t xml:space="preserve">— </t>
    </r>
    <r>
      <rPr>
        <sz val="11"/>
        <rFont val="Times New Roman"/>
        <family val="1"/>
      </rPr>
      <t>425 415</t>
    </r>
  </si>
  <si>
    <r>
      <t xml:space="preserve">District  Judge </t>
    </r>
    <r>
      <rPr>
        <sz val="11"/>
        <color rgb="FF0A0A0A"/>
        <rFont val="Times New Roman"/>
        <family val="1"/>
      </rPr>
      <t xml:space="preserve">- </t>
    </r>
    <r>
      <rPr>
        <sz val="11"/>
        <color rgb="FF3F3F3F"/>
        <rFont val="Times New Roman"/>
        <family val="1"/>
      </rPr>
      <t xml:space="preserve">1 </t>
    </r>
    <r>
      <rPr>
        <sz val="11"/>
        <color rgb="FF212121"/>
        <rFont val="Times New Roman"/>
        <family val="1"/>
      </rPr>
      <t xml:space="preserve">&amp;  </t>
    </r>
    <r>
      <rPr>
        <sz val="11"/>
        <rFont val="Times New Roman"/>
        <family val="1"/>
      </rPr>
      <t xml:space="preserve">ASJ and CJSD </t>
    </r>
    <r>
      <rPr>
        <sz val="11"/>
        <color rgb="FF0F0F0F"/>
        <rFont val="Times New Roman"/>
        <family val="1"/>
      </rPr>
      <t xml:space="preserve">&amp; </t>
    </r>
    <r>
      <rPr>
        <sz val="11"/>
        <color rgb="FF070707"/>
        <rFont val="Times New Roman"/>
        <family val="1"/>
      </rPr>
      <t xml:space="preserve">CJJD, </t>
    </r>
    <r>
      <rPr>
        <sz val="11"/>
        <color rgb="FF050505"/>
        <rFont val="Times New Roman"/>
        <family val="1"/>
      </rPr>
      <t xml:space="preserve">Opposite </t>
    </r>
    <r>
      <rPr>
        <sz val="11"/>
        <rFont val="Times New Roman"/>
        <family val="1"/>
      </rPr>
      <t xml:space="preserve">Telephone  Exchange, Basmath </t>
    </r>
    <r>
      <rPr>
        <sz val="11"/>
        <color rgb="FF232323"/>
        <rFont val="Times New Roman"/>
        <family val="1"/>
      </rPr>
      <t xml:space="preserve">- </t>
    </r>
    <r>
      <rPr>
        <sz val="11"/>
        <rFont val="Times New Roman"/>
        <family val="1"/>
      </rPr>
      <t>431 512</t>
    </r>
  </si>
  <si>
    <r>
      <rPr>
        <sz val="11"/>
        <rFont val="Times New Roman"/>
        <family val="1"/>
      </rPr>
      <t>Civil and Criminal</t>
    </r>
    <r>
      <rPr>
        <sz val="11"/>
        <color rgb="FF080808"/>
        <rFont val="Times New Roman"/>
        <family val="1"/>
      </rPr>
      <t xml:space="preserve"> </t>
    </r>
    <r>
      <rPr>
        <sz val="11"/>
        <rFont val="Times New Roman"/>
        <family val="1"/>
      </rPr>
      <t xml:space="preserve">Court, Nehrunagar,  Beside Annasaheb Magar Stediam,  Pimpri, Pune 411  </t>
    </r>
    <r>
      <rPr>
        <sz val="11"/>
        <color rgb="FF131313"/>
        <rFont val="Times New Roman"/>
        <family val="1"/>
      </rPr>
      <t>018</t>
    </r>
  </si>
  <si>
    <r>
      <rPr>
        <sz val="11"/>
        <color rgb="FF070707"/>
        <rFont val="Times New Roman"/>
        <family val="1"/>
      </rPr>
      <t>Pune</t>
    </r>
  </si>
  <si>
    <r>
      <rPr>
        <sz val="11"/>
        <color rgb="FF131313"/>
        <rFont val="Times New Roman"/>
        <family val="1"/>
      </rPr>
      <t xml:space="preserve">Raigad </t>
    </r>
    <r>
      <rPr>
        <sz val="11"/>
        <color rgb="FF2D2D2D"/>
        <rFont val="Times New Roman"/>
        <family val="1"/>
      </rPr>
      <t xml:space="preserve">—
</t>
    </r>
    <r>
      <rPr>
        <sz val="11"/>
        <color rgb="FF0C0C0C"/>
        <rFont val="Times New Roman"/>
        <family val="1"/>
      </rPr>
      <t>Alibag</t>
    </r>
  </si>
  <si>
    <r>
      <rPr>
        <sz val="11"/>
        <rFont val="Times New Roman"/>
        <family val="1"/>
      </rPr>
      <t xml:space="preserve">Disitrict  </t>
    </r>
    <r>
      <rPr>
        <sz val="11"/>
        <color rgb="FF0F0F0F"/>
        <rFont val="Times New Roman"/>
        <family val="1"/>
      </rPr>
      <t xml:space="preserve">Judge </t>
    </r>
    <r>
      <rPr>
        <sz val="11"/>
        <color rgb="FF181818"/>
        <rFont val="Times New Roman"/>
        <family val="1"/>
      </rPr>
      <t xml:space="preserve">- </t>
    </r>
    <r>
      <rPr>
        <sz val="11"/>
        <color rgb="FF414141"/>
        <rFont val="Times New Roman"/>
        <family val="1"/>
      </rPr>
      <t xml:space="preserve">1, </t>
    </r>
    <r>
      <rPr>
        <sz val="11"/>
        <rFont val="Times New Roman"/>
        <family val="1"/>
      </rPr>
      <t xml:space="preserve">Mangaon,  </t>
    </r>
    <r>
      <rPr>
        <sz val="11"/>
        <color rgb="FF181818"/>
        <rFont val="Times New Roman"/>
        <family val="1"/>
      </rPr>
      <t>Star</t>
    </r>
    <r>
      <rPr>
        <sz val="11"/>
        <color rgb="FF131313"/>
        <rFont val="Times New Roman"/>
        <family val="1"/>
      </rPr>
      <t xml:space="preserve">gad </t>
    </r>
    <r>
      <rPr>
        <sz val="11"/>
        <color rgb="FF2B2B2B"/>
        <rFont val="Times New Roman"/>
        <family val="1"/>
      </rPr>
      <t xml:space="preserve">- </t>
    </r>
    <r>
      <rPr>
        <sz val="11"/>
        <rFont val="Times New Roman"/>
        <family val="1"/>
      </rPr>
      <t>402</t>
    </r>
    <r>
      <rPr>
        <sz val="11"/>
        <color rgb="FF0F0F0F"/>
        <rFont val="Times New Roman"/>
        <family val="1"/>
      </rPr>
      <t>104</t>
    </r>
  </si>
  <si>
    <r>
      <rPr>
        <sz val="11"/>
        <color rgb="FF111111"/>
        <rFont val="Times New Roman"/>
        <family val="1"/>
      </rPr>
      <t xml:space="preserve">Raigad </t>
    </r>
    <r>
      <rPr>
        <sz val="11"/>
        <color rgb="FF363636"/>
        <rFont val="Times New Roman"/>
        <family val="1"/>
      </rPr>
      <t xml:space="preserve">— </t>
    </r>
    <r>
      <rPr>
        <sz val="11"/>
        <color rgb="FF070707"/>
        <rFont val="Times New Roman"/>
        <family val="1"/>
      </rPr>
      <t>Alibag</t>
    </r>
  </si>
  <si>
    <r>
      <t xml:space="preserve">District  </t>
    </r>
    <r>
      <rPr>
        <sz val="11"/>
        <color rgb="FF0C0C0C"/>
        <rFont val="Times New Roman"/>
        <family val="1"/>
      </rPr>
      <t xml:space="preserve">Judge-1, </t>
    </r>
    <r>
      <rPr>
        <sz val="11"/>
        <color rgb="FF1C1C1C"/>
        <rFont val="Times New Roman"/>
        <family val="1"/>
      </rPr>
      <t xml:space="preserve">Civil </t>
    </r>
    <r>
      <rPr>
        <sz val="11"/>
        <color rgb="FF0F0F0F"/>
        <rFont val="Times New Roman"/>
        <family val="1"/>
      </rPr>
      <t xml:space="preserve">Court,  </t>
    </r>
    <r>
      <rPr>
        <sz val="11"/>
        <color rgb="FF111111"/>
        <rFont val="Times New Roman"/>
        <family val="1"/>
      </rPr>
      <t xml:space="preserve">Senior </t>
    </r>
    <r>
      <rPr>
        <sz val="11"/>
        <rFont val="Times New Roman"/>
        <family val="1"/>
      </rPr>
      <t xml:space="preserve">Division and  </t>
    </r>
    <r>
      <rPr>
        <sz val="11"/>
        <color rgb="FF0A0A0A"/>
        <rFont val="Times New Roman"/>
        <family val="1"/>
      </rPr>
      <t xml:space="preserve">Junior </t>
    </r>
    <r>
      <rPr>
        <sz val="11"/>
        <rFont val="Times New Roman"/>
        <family val="1"/>
      </rPr>
      <t xml:space="preserve">Division, </t>
    </r>
    <r>
      <rPr>
        <sz val="11"/>
        <color rgb="FF0F0F0F"/>
        <rFont val="Times New Roman"/>
        <family val="1"/>
      </rPr>
      <t xml:space="preserve">Near </t>
    </r>
    <r>
      <rPr>
        <sz val="11"/>
        <rFont val="Times New Roman"/>
        <family val="1"/>
      </rPr>
      <t xml:space="preserve">panvel  </t>
    </r>
    <r>
      <rPr>
        <sz val="11"/>
        <color rgb="FF0A0A0A"/>
        <rFont val="Times New Roman"/>
        <family val="1"/>
      </rPr>
      <t xml:space="preserve">taluka </t>
    </r>
    <r>
      <rPr>
        <sz val="11"/>
        <rFont val="Times New Roman"/>
        <family val="1"/>
      </rPr>
      <t xml:space="preserve">police  </t>
    </r>
    <r>
      <rPr>
        <sz val="11"/>
        <color rgb="FF0A0A0A"/>
        <rFont val="Times New Roman"/>
        <family val="1"/>
      </rPr>
      <t xml:space="preserve">station, </t>
    </r>
    <r>
      <rPr>
        <sz val="11"/>
        <color rgb="FF080808"/>
        <rFont val="Times New Roman"/>
        <family val="1"/>
      </rPr>
      <t xml:space="preserve">HOC </t>
    </r>
    <r>
      <rPr>
        <sz val="11"/>
        <rFont val="Times New Roman"/>
        <family val="1"/>
      </rPr>
      <t xml:space="preserve">Colony Panvel </t>
    </r>
    <r>
      <rPr>
        <sz val="11"/>
        <color rgb="FF0F0F0F"/>
        <rFont val="Times New Roman"/>
        <family val="1"/>
      </rPr>
      <t xml:space="preserve">— </t>
    </r>
    <r>
      <rPr>
        <sz val="11"/>
        <color rgb="FF0C0C0C"/>
        <rFont val="Times New Roman"/>
        <family val="1"/>
      </rPr>
      <t>410 206</t>
    </r>
  </si>
  <si>
    <r>
      <rPr>
        <sz val="11"/>
        <color rgb="FF0C0C0C"/>
        <rFont val="Times New Roman"/>
        <family val="1"/>
      </rPr>
      <t xml:space="preserve">Raigad </t>
    </r>
    <r>
      <rPr>
        <sz val="11"/>
        <color rgb="FF383838"/>
        <rFont val="Times New Roman"/>
        <family val="1"/>
      </rPr>
      <t xml:space="preserve">— </t>
    </r>
    <r>
      <rPr>
        <sz val="11"/>
        <rFont val="Times New Roman"/>
        <family val="1"/>
      </rPr>
      <t>Alibag</t>
    </r>
  </si>
  <si>
    <r>
      <rPr>
        <sz val="11"/>
        <rFont val="Times New Roman"/>
        <family val="1"/>
      </rPr>
      <t xml:space="preserve">Judge, Family Court, Raigad,  Kutchi Bhavan, shri Naminatha  Path, Shreebag  Road, </t>
    </r>
    <r>
      <rPr>
        <sz val="11"/>
        <color rgb="FF050505"/>
        <rFont val="Times New Roman"/>
        <family val="1"/>
      </rPr>
      <t xml:space="preserve">Chendhare,  </t>
    </r>
    <r>
      <rPr>
        <sz val="11"/>
        <rFont val="Times New Roman"/>
        <family val="1"/>
      </rPr>
      <t xml:space="preserve">Aligab </t>
    </r>
    <r>
      <rPr>
        <sz val="11"/>
        <color rgb="FF151515"/>
        <rFont val="Times New Roman"/>
        <family val="1"/>
      </rPr>
      <t xml:space="preserve">- </t>
    </r>
    <r>
      <rPr>
        <sz val="11"/>
        <rFont val="Times New Roman"/>
        <family val="1"/>
      </rPr>
      <t xml:space="preserve">Raigad </t>
    </r>
    <r>
      <rPr>
        <sz val="11"/>
        <color rgb="FF3D3D3D"/>
        <rFont val="Times New Roman"/>
        <family val="1"/>
      </rPr>
      <t xml:space="preserve">— </t>
    </r>
    <r>
      <rPr>
        <sz val="11"/>
        <rFont val="Times New Roman"/>
        <family val="1"/>
      </rPr>
      <t xml:space="preserve">402 </t>
    </r>
    <r>
      <rPr>
        <sz val="11"/>
        <color rgb="FF070707"/>
        <rFont val="Times New Roman"/>
        <family val="1"/>
      </rPr>
      <t>201</t>
    </r>
  </si>
  <si>
    <r>
      <rPr>
        <sz val="11"/>
        <color rgb="FF0C0C0C"/>
        <rFont val="Times New Roman"/>
        <family val="1"/>
      </rPr>
      <t>Ratnagiri</t>
    </r>
  </si>
  <si>
    <r>
      <rPr>
        <sz val="11"/>
        <rFont val="Times New Roman"/>
        <family val="1"/>
      </rPr>
      <t xml:space="preserve">Distret  </t>
    </r>
    <r>
      <rPr>
        <sz val="11"/>
        <color rgb="FF111111"/>
        <rFont val="Times New Roman"/>
        <family val="1"/>
      </rPr>
      <t xml:space="preserve">Judge </t>
    </r>
    <r>
      <rPr>
        <sz val="11"/>
        <color rgb="FF161616"/>
        <rFont val="Times New Roman"/>
        <family val="1"/>
      </rPr>
      <t xml:space="preserve">-     </t>
    </r>
    <r>
      <rPr>
        <sz val="11"/>
        <rFont val="Times New Roman"/>
        <family val="1"/>
      </rPr>
      <t xml:space="preserve">&amp; ASJ   </t>
    </r>
    <r>
      <rPr>
        <sz val="11"/>
        <color rgb="FF131313"/>
        <rFont val="Times New Roman"/>
        <family val="1"/>
      </rPr>
      <t xml:space="preserve">Court </t>
    </r>
    <r>
      <rPr>
        <sz val="11"/>
        <color rgb="FF0A0A0A"/>
        <rFont val="Times New Roman"/>
        <family val="1"/>
      </rPr>
      <t xml:space="preserve">Complex,  </t>
    </r>
    <r>
      <rPr>
        <sz val="11"/>
        <rFont val="Times New Roman"/>
        <family val="1"/>
      </rPr>
      <t xml:space="preserve">Khed </t>
    </r>
    <r>
      <rPr>
        <sz val="11"/>
        <color rgb="FF1F1F1F"/>
        <rFont val="Times New Roman"/>
        <family val="1"/>
      </rPr>
      <t xml:space="preserve">- </t>
    </r>
    <r>
      <rPr>
        <sz val="11"/>
        <rFont val="Times New Roman"/>
        <family val="1"/>
      </rPr>
      <t xml:space="preserve">415 </t>
    </r>
    <r>
      <rPr>
        <sz val="11"/>
        <color rgb="FF0C0C0C"/>
        <rFont val="Times New Roman"/>
        <family val="1"/>
      </rPr>
      <t>709</t>
    </r>
  </si>
  <si>
    <r>
      <rPr>
        <sz val="11"/>
        <color rgb="FF0A0A0A"/>
        <rFont val="Times New Roman"/>
        <family val="1"/>
      </rPr>
      <t>Ratnagiri</t>
    </r>
  </si>
  <si>
    <r>
      <rPr>
        <sz val="11"/>
        <color rgb="FF0C0C0C"/>
        <rFont val="Times New Roman"/>
        <family val="1"/>
      </rPr>
      <t xml:space="preserve">Civil </t>
    </r>
    <r>
      <rPr>
        <sz val="11"/>
        <color rgb="FF050505"/>
        <rFont val="Times New Roman"/>
        <family val="1"/>
      </rPr>
      <t xml:space="preserve">Judge </t>
    </r>
    <r>
      <rPr>
        <sz val="11"/>
        <color rgb="FF070707"/>
        <rFont val="Times New Roman"/>
        <family val="1"/>
      </rPr>
      <t xml:space="preserve">Junior </t>
    </r>
    <r>
      <rPr>
        <sz val="11"/>
        <color rgb="FF080808"/>
        <rFont val="Times New Roman"/>
        <family val="1"/>
      </rPr>
      <t xml:space="preserve">Division  </t>
    </r>
    <r>
      <rPr>
        <sz val="11"/>
        <rFont val="Times New Roman"/>
        <family val="1"/>
      </rPr>
      <t xml:space="preserve">&amp; Judicial
Magistrate  First Class, </t>
    </r>
    <r>
      <rPr>
        <sz val="11"/>
        <color rgb="FF232323"/>
        <rFont val="Times New Roman"/>
        <family val="1"/>
      </rPr>
      <t>M</t>
    </r>
    <r>
      <rPr>
        <sz val="11"/>
        <rFont val="Times New Roman"/>
        <family val="1"/>
      </rPr>
      <t xml:space="preserve">andangad,  at Post, </t>
    </r>
    <r>
      <rPr>
        <sz val="11"/>
        <color rgb="FF0C0C0C"/>
        <rFont val="Times New Roman"/>
        <family val="1"/>
      </rPr>
      <t xml:space="preserve">Bhingloli,  </t>
    </r>
    <r>
      <rPr>
        <sz val="11"/>
        <color rgb="FF050505"/>
        <rFont val="Times New Roman"/>
        <family val="1"/>
      </rPr>
      <t xml:space="preserve">Tal. </t>
    </r>
    <r>
      <rPr>
        <sz val="11"/>
        <rFont val="Times New Roman"/>
        <family val="1"/>
      </rPr>
      <t xml:space="preserve">Mandangad,  Ratnagiri.  </t>
    </r>
    <r>
      <rPr>
        <sz val="11"/>
        <color rgb="FF1F1F1F"/>
        <rFont val="Times New Roman"/>
        <family val="1"/>
      </rPr>
      <t xml:space="preserve">- </t>
    </r>
    <r>
      <rPr>
        <sz val="11"/>
        <color rgb="FF080808"/>
        <rFont val="Times New Roman"/>
        <family val="1"/>
      </rPr>
      <t xml:space="preserve">415 203
</t>
    </r>
  </si>
  <si>
    <r>
      <rPr>
        <sz val="11"/>
        <color rgb="FF080808"/>
        <rFont val="Times New Roman"/>
        <family val="1"/>
      </rPr>
      <t>Sangli</t>
    </r>
  </si>
  <si>
    <r>
      <t xml:space="preserve">Co- Operative Court Islampur Municipal Corporation  </t>
    </r>
    <r>
      <rPr>
        <sz val="11"/>
        <color rgb="FF0A0A0A"/>
        <rFont val="Times New Roman"/>
        <family val="1"/>
      </rPr>
      <t xml:space="preserve">Shopping </t>
    </r>
    <r>
      <rPr>
        <sz val="11"/>
        <color rgb="FF080808"/>
        <rFont val="Times New Roman"/>
        <family val="1"/>
      </rPr>
      <t xml:space="preserve">Center, </t>
    </r>
    <r>
      <rPr>
        <sz val="11"/>
        <rFont val="Times New Roman"/>
        <family val="1"/>
      </rPr>
      <t xml:space="preserve">Shivaji </t>
    </r>
    <r>
      <rPr>
        <sz val="11"/>
        <color rgb="FF0A0A0A"/>
        <rFont val="Times New Roman"/>
        <family val="1"/>
      </rPr>
      <t xml:space="preserve">Chowk,  </t>
    </r>
    <r>
      <rPr>
        <sz val="11"/>
        <rFont val="Times New Roman"/>
        <family val="1"/>
      </rPr>
      <t>lslampur, Tal- Walava,  Dist- Sangli - 415409</t>
    </r>
  </si>
  <si>
    <r>
      <rPr>
        <sz val="11"/>
        <rFont val="Times New Roman"/>
        <family val="1"/>
      </rPr>
      <t xml:space="preserve">Sindhudurg-
</t>
    </r>
    <r>
      <rPr>
        <sz val="11"/>
        <color rgb="FF0A0A0A"/>
        <rFont val="Times New Roman"/>
        <family val="1"/>
      </rPr>
      <t>Oros</t>
    </r>
  </si>
  <si>
    <r>
      <rPr>
        <sz val="11"/>
        <rFont val="Times New Roman"/>
        <family val="1"/>
      </rPr>
      <t xml:space="preserve">Sindhudurg-
</t>
    </r>
    <r>
      <rPr>
        <sz val="11"/>
        <color rgb="FF131313"/>
        <rFont val="Times New Roman"/>
        <family val="1"/>
      </rPr>
      <t>Oros</t>
    </r>
  </si>
  <si>
    <r>
      <rPr>
        <sz val="11"/>
        <color rgb="FF0C0C0C"/>
        <rFont val="Times New Roman"/>
        <family val="1"/>
      </rPr>
      <t xml:space="preserve">South </t>
    </r>
    <r>
      <rPr>
        <sz val="11"/>
        <rFont val="Times New Roman"/>
        <family val="1"/>
      </rPr>
      <t>Goa</t>
    </r>
  </si>
  <si>
    <r>
      <t xml:space="preserve">South </t>
    </r>
    <r>
      <rPr>
        <sz val="11"/>
        <color rgb="FF0C0C0C"/>
        <rFont val="Times New Roman"/>
        <family val="1"/>
      </rPr>
      <t>Goa</t>
    </r>
  </si>
  <si>
    <r>
      <rPr>
        <sz val="11"/>
        <color rgb="FF0C0C0C"/>
        <rFont val="Times New Roman"/>
        <family val="1"/>
      </rPr>
      <t>Thane</t>
    </r>
  </si>
  <si>
    <r>
      <rPr>
        <sz val="11"/>
        <color rgb="FF0F0F0F"/>
        <rFont val="Times New Roman"/>
        <family val="1"/>
      </rPr>
      <t xml:space="preserve">family </t>
    </r>
    <r>
      <rPr>
        <sz val="11"/>
        <rFont val="Times New Roman"/>
        <family val="1"/>
      </rPr>
      <t xml:space="preserve">Court  Belapur, 5th </t>
    </r>
    <r>
      <rPr>
        <sz val="11"/>
        <color rgb="FF0C0C0C"/>
        <rFont val="Times New Roman"/>
        <family val="1"/>
      </rPr>
      <t xml:space="preserve">Floor, </t>
    </r>
    <r>
      <rPr>
        <sz val="11"/>
        <rFont val="Times New Roman"/>
        <family val="1"/>
      </rPr>
      <t xml:space="preserve">Addl.
District  and </t>
    </r>
    <r>
      <rPr>
        <sz val="11"/>
        <color rgb="FF111111"/>
        <rFont val="Times New Roman"/>
        <family val="1"/>
      </rPr>
      <t xml:space="preserve">Sessions </t>
    </r>
    <r>
      <rPr>
        <sz val="11"/>
        <rFont val="Times New Roman"/>
        <family val="1"/>
      </rPr>
      <t xml:space="preserve">Court,   Belapur </t>
    </r>
    <r>
      <rPr>
        <sz val="11"/>
        <color rgb="FF0A0A0A"/>
        <rFont val="Times New Roman"/>
        <family val="1"/>
      </rPr>
      <t xml:space="preserve">Behind </t>
    </r>
    <r>
      <rPr>
        <sz val="11"/>
        <color rgb="FF080808"/>
        <rFont val="Times New Roman"/>
        <family val="1"/>
      </rPr>
      <t xml:space="preserve">Chroma  </t>
    </r>
    <r>
      <rPr>
        <sz val="11"/>
        <rFont val="Times New Roman"/>
        <family val="1"/>
      </rPr>
      <t xml:space="preserve">Showroom,  </t>
    </r>
    <r>
      <rPr>
        <sz val="11"/>
        <color rgb="FF0C0C0C"/>
        <rFont val="Times New Roman"/>
        <family val="1"/>
      </rPr>
      <t xml:space="preserve">Sector </t>
    </r>
    <r>
      <rPr>
        <sz val="11"/>
        <color rgb="FF212121"/>
        <rFont val="Times New Roman"/>
        <family val="1"/>
      </rPr>
      <t xml:space="preserve">15,   </t>
    </r>
    <r>
      <rPr>
        <sz val="11"/>
        <color rgb="FF0F0F0F"/>
        <rFont val="Times New Roman"/>
        <family val="1"/>
      </rPr>
      <t xml:space="preserve">CBD </t>
    </r>
    <r>
      <rPr>
        <sz val="11"/>
        <rFont val="Times New Roman"/>
        <family val="1"/>
      </rPr>
      <t xml:space="preserve">Bclapur, </t>
    </r>
    <r>
      <rPr>
        <sz val="11"/>
        <color rgb="FF080808"/>
        <rFont val="Times New Roman"/>
        <family val="1"/>
      </rPr>
      <t xml:space="preserve">Navi </t>
    </r>
    <r>
      <rPr>
        <sz val="11"/>
        <rFont val="Times New Roman"/>
        <family val="1"/>
      </rPr>
      <t xml:space="preserve">Mumbai </t>
    </r>
    <r>
      <rPr>
        <sz val="11"/>
        <color rgb="FF383838"/>
        <rFont val="Times New Roman"/>
        <family val="1"/>
      </rPr>
      <t xml:space="preserve">— </t>
    </r>
    <r>
      <rPr>
        <sz val="11"/>
        <rFont val="Times New Roman"/>
        <family val="1"/>
      </rPr>
      <t>400619</t>
    </r>
  </si>
  <si>
    <r>
      <rPr>
        <sz val="11"/>
        <color rgb="FF131313"/>
        <rFont val="Times New Roman"/>
        <family val="1"/>
      </rPr>
      <t>Wardha</t>
    </r>
  </si>
  <si>
    <r>
      <rPr>
        <sz val="11"/>
        <color rgb="FF0A0A0A"/>
        <rFont val="Times New Roman"/>
        <family val="1"/>
      </rPr>
      <t>Wardha</t>
    </r>
  </si>
  <si>
    <r>
      <rPr>
        <sz val="11"/>
        <color rgb="FF080808"/>
        <rFont val="Times New Roman"/>
        <family val="1"/>
      </rPr>
      <t>Wardha</t>
    </r>
  </si>
  <si>
    <r>
      <rPr>
        <sz val="11"/>
        <color rgb="FF0C0C0C"/>
        <rFont val="Times New Roman"/>
        <family val="1"/>
      </rPr>
      <t xml:space="preserve">Civil </t>
    </r>
    <r>
      <rPr>
        <sz val="11"/>
        <color rgb="FF181818"/>
        <rFont val="Times New Roman"/>
        <family val="1"/>
      </rPr>
      <t xml:space="preserve">and  </t>
    </r>
    <r>
      <rPr>
        <sz val="11"/>
        <color rgb="FF111111"/>
        <rFont val="Times New Roman"/>
        <family val="1"/>
      </rPr>
      <t xml:space="preserve">Criminal </t>
    </r>
    <r>
      <rPr>
        <sz val="11"/>
        <color rgb="FF050505"/>
        <rFont val="Times New Roman"/>
        <family val="1"/>
      </rPr>
      <t xml:space="preserve">Court, </t>
    </r>
    <r>
      <rPr>
        <sz val="11"/>
        <color rgb="FF111111"/>
        <rFont val="Times New Roman"/>
        <family val="1"/>
      </rPr>
      <t xml:space="preserve">Girad </t>
    </r>
    <r>
      <rPr>
        <sz val="11"/>
        <rFont val="Times New Roman"/>
        <family val="1"/>
      </rPr>
      <t xml:space="preserve">Road,
</t>
    </r>
    <r>
      <rPr>
        <sz val="11"/>
        <color rgb="FF050505"/>
        <rFont val="Times New Roman"/>
        <family val="1"/>
      </rPr>
      <t xml:space="preserve">Samudrapur  </t>
    </r>
    <r>
      <rPr>
        <sz val="11"/>
        <color rgb="FF0A0A0A"/>
        <rFont val="Times New Roman"/>
        <family val="1"/>
      </rPr>
      <t xml:space="preserve">- 442 </t>
    </r>
    <r>
      <rPr>
        <sz val="11"/>
        <rFont val="Times New Roman"/>
        <family val="1"/>
      </rPr>
      <t>305</t>
    </r>
  </si>
  <si>
    <r>
      <rPr>
        <sz val="11"/>
        <color rgb="FF161616"/>
        <rFont val="Times New Roman"/>
        <family val="1"/>
      </rPr>
      <t>Was</t>
    </r>
    <r>
      <rPr>
        <sz val="11"/>
        <color rgb="FF181818"/>
        <rFont val="Times New Roman"/>
        <family val="1"/>
      </rPr>
      <t>him</t>
    </r>
  </si>
  <si>
    <r>
      <rPr>
        <sz val="11"/>
        <color rgb="FF0F0F0F"/>
        <rFont val="Times New Roman"/>
        <family val="1"/>
      </rPr>
      <t xml:space="preserve">Civil </t>
    </r>
    <r>
      <rPr>
        <sz val="11"/>
        <color rgb="FF0C0C0C"/>
        <rFont val="Times New Roman"/>
        <family val="1"/>
      </rPr>
      <t xml:space="preserve">and </t>
    </r>
    <r>
      <rPr>
        <sz val="11"/>
        <rFont val="Times New Roman"/>
        <family val="1"/>
      </rPr>
      <t xml:space="preserve">Criminal Court, Near </t>
    </r>
    <r>
      <rPr>
        <sz val="11"/>
        <color rgb="FF080808"/>
        <rFont val="Times New Roman"/>
        <family val="1"/>
      </rPr>
      <t xml:space="preserve">Tahsil,  </t>
    </r>
    <r>
      <rPr>
        <sz val="11"/>
        <color rgb="FF0E0E0E"/>
        <rFont val="Times New Roman"/>
        <family val="1"/>
      </rPr>
      <t xml:space="preserve">Risod </t>
    </r>
    <r>
      <rPr>
        <sz val="11"/>
        <color rgb="FF181818"/>
        <rFont val="Times New Roman"/>
        <family val="1"/>
      </rPr>
      <t xml:space="preserve">- </t>
    </r>
    <r>
      <rPr>
        <sz val="11"/>
        <color rgb="FF131313"/>
        <rFont val="Times New Roman"/>
        <family val="1"/>
      </rPr>
      <t xml:space="preserve">444 </t>
    </r>
    <r>
      <rPr>
        <sz val="11"/>
        <color rgb="FF0F0F0F"/>
        <rFont val="Times New Roman"/>
        <family val="1"/>
      </rPr>
      <t>506</t>
    </r>
  </si>
  <si>
    <r>
      <t>Was</t>
    </r>
    <r>
      <rPr>
        <sz val="11"/>
        <color rgb="FF151515"/>
        <rFont val="Times New Roman"/>
        <family val="1"/>
      </rPr>
      <t>him</t>
    </r>
  </si>
  <si>
    <r>
      <rPr>
        <sz val="11"/>
        <color rgb="FF0C0C0C"/>
        <rFont val="Times New Roman"/>
        <family val="1"/>
      </rPr>
      <t>Yavatmal</t>
    </r>
  </si>
  <si>
    <r>
      <rPr>
        <sz val="11"/>
        <color rgb="FF181818"/>
        <rFont val="Times New Roman"/>
        <family val="1"/>
      </rPr>
      <t>Yavatmal</t>
    </r>
  </si>
  <si>
    <r>
      <rPr>
        <sz val="11"/>
        <color rgb="FF1C1C1C"/>
        <rFont val="Times New Roman"/>
        <family val="1"/>
      </rPr>
      <t>Judge,</t>
    </r>
    <r>
      <rPr>
        <sz val="11"/>
        <color rgb="FF676767"/>
        <rFont val="Times New Roman"/>
        <family val="1"/>
      </rPr>
      <t xml:space="preserve"> </t>
    </r>
    <r>
      <rPr>
        <sz val="11"/>
        <color rgb="FF1D1D1D"/>
        <rFont val="Times New Roman"/>
        <family val="1"/>
      </rPr>
      <t xml:space="preserve">Family </t>
    </r>
    <r>
      <rPr>
        <sz val="11"/>
        <color rgb="FF0F0F0F"/>
        <rFont val="Times New Roman"/>
        <family val="1"/>
      </rPr>
      <t xml:space="preserve">Court, </t>
    </r>
    <r>
      <rPr>
        <sz val="11"/>
        <color rgb="FF1A1A1A"/>
        <rFont val="Times New Roman"/>
        <family val="1"/>
      </rPr>
      <t xml:space="preserve">Yavarmal  </t>
    </r>
    <r>
      <rPr>
        <sz val="11"/>
        <color rgb="FF2D2D2D"/>
        <rFont val="Times New Roman"/>
        <family val="1"/>
      </rPr>
      <t>Dis</t>
    </r>
    <r>
      <rPr>
        <sz val="11"/>
        <color rgb="FF181818"/>
        <rFont val="Times New Roman"/>
        <family val="1"/>
      </rPr>
      <t xml:space="preserve">rrict  </t>
    </r>
    <r>
      <rPr>
        <sz val="11"/>
        <color rgb="FF0F0F0F"/>
        <rFont val="Times New Roman"/>
        <family val="1"/>
      </rPr>
      <t xml:space="preserve">Court </t>
    </r>
    <r>
      <rPr>
        <sz val="11"/>
        <color rgb="FF232323"/>
        <rFont val="Times New Roman"/>
        <family val="1"/>
      </rPr>
      <t xml:space="preserve">premises,  </t>
    </r>
    <r>
      <rPr>
        <sz val="11"/>
        <color rgb="FF1A1A1A"/>
        <rFont val="Times New Roman"/>
        <family val="1"/>
      </rPr>
      <t xml:space="preserve">Near </t>
    </r>
    <r>
      <rPr>
        <sz val="11"/>
        <color rgb="FF181818"/>
        <rFont val="Times New Roman"/>
        <family val="1"/>
      </rPr>
      <t xml:space="preserve">ESNL </t>
    </r>
    <r>
      <rPr>
        <sz val="11"/>
        <color rgb="FF131313"/>
        <rFont val="Times New Roman"/>
        <family val="1"/>
      </rPr>
      <t xml:space="preserve">Ofiice,  </t>
    </r>
    <r>
      <rPr>
        <sz val="11"/>
        <color rgb="FF0E0E0E"/>
        <rFont val="Times New Roman"/>
        <family val="1"/>
      </rPr>
      <t xml:space="preserve">Dhamangaon </t>
    </r>
    <r>
      <rPr>
        <sz val="11"/>
        <color rgb="FF181818"/>
        <rFont val="Times New Roman"/>
        <family val="1"/>
      </rPr>
      <t xml:space="preserve">Rocd, </t>
    </r>
    <r>
      <rPr>
        <sz val="11"/>
        <color rgb="FF151515"/>
        <rFont val="Times New Roman"/>
        <family val="1"/>
      </rPr>
      <t xml:space="preserve">Yavatmal  </t>
    </r>
    <r>
      <rPr>
        <sz val="11"/>
        <color rgb="FF131313"/>
        <rFont val="Times New Roman"/>
        <family val="1"/>
      </rPr>
      <t xml:space="preserve">445 </t>
    </r>
    <r>
      <rPr>
        <sz val="11"/>
        <color rgb="FF343434"/>
        <rFont val="Times New Roman"/>
        <family val="1"/>
      </rPr>
      <t>007</t>
    </r>
  </si>
  <si>
    <r>
      <rPr>
        <sz val="11"/>
        <rFont val="Times New Roman"/>
        <family val="1"/>
      </rPr>
      <t xml:space="preserve">District  </t>
    </r>
    <r>
      <rPr>
        <sz val="11"/>
        <color rgb="FF080808"/>
        <rFont val="Times New Roman"/>
        <family val="1"/>
      </rPr>
      <t xml:space="preserve">Judge </t>
    </r>
    <r>
      <rPr>
        <sz val="11"/>
        <rFont val="Times New Roman"/>
        <family val="1"/>
      </rPr>
      <t xml:space="preserve">- </t>
    </r>
    <r>
      <rPr>
        <sz val="11"/>
        <color rgb="FF565656"/>
        <rFont val="Times New Roman"/>
        <family val="1"/>
      </rPr>
      <t xml:space="preserve">1 </t>
    </r>
    <r>
      <rPr>
        <sz val="11"/>
        <color rgb="FF131313"/>
        <rFont val="Times New Roman"/>
        <family val="1"/>
      </rPr>
      <t xml:space="preserve">&amp; </t>
    </r>
    <r>
      <rPr>
        <sz val="11"/>
        <color rgb="FF0E0E0E"/>
        <rFont val="Times New Roman"/>
        <family val="1"/>
      </rPr>
      <t xml:space="preserve">ASJ, </t>
    </r>
    <r>
      <rPr>
        <sz val="11"/>
        <rFont val="Times New Roman"/>
        <family val="1"/>
      </rPr>
      <t>Court Complex, Kopergaon </t>
    </r>
    <r>
      <rPr>
        <sz val="11"/>
        <color rgb="FF0F0F0F"/>
        <rFont val="Times New Roman"/>
        <family val="1"/>
      </rPr>
      <t>- </t>
    </r>
    <r>
      <rPr>
        <sz val="11"/>
        <color rgb="FF080808"/>
        <rFont val="Times New Roman"/>
        <family val="1"/>
      </rPr>
      <t>413 </t>
    </r>
    <r>
      <rPr>
        <sz val="11"/>
        <color rgb="FF0E0E0E"/>
        <rFont val="Times New Roman"/>
        <family val="1"/>
      </rPr>
      <t>601           </t>
    </r>
  </si>
  <si>
    <r>
      <rPr>
        <sz val="11"/>
        <rFont val="Times New Roman"/>
        <family val="1"/>
      </rPr>
      <t xml:space="preserve">District  </t>
    </r>
    <r>
      <rPr>
        <sz val="11"/>
        <color rgb="FF0F0F0F"/>
        <rFont val="Times New Roman"/>
        <family val="1"/>
      </rPr>
      <t xml:space="preserve">Judge </t>
    </r>
    <r>
      <rPr>
        <sz val="11"/>
        <color rgb="FF242424"/>
        <rFont val="Times New Roman"/>
        <family val="1"/>
      </rPr>
      <t xml:space="preserve">- </t>
    </r>
    <r>
      <rPr>
        <sz val="11"/>
        <color rgb="FF282828"/>
        <rFont val="Times New Roman"/>
        <family val="1"/>
      </rPr>
      <t xml:space="preserve">1 </t>
    </r>
    <r>
      <rPr>
        <sz val="11"/>
        <color rgb="FF161616"/>
        <rFont val="Times New Roman"/>
        <family val="1"/>
      </rPr>
      <t xml:space="preserve">&amp; </t>
    </r>
    <r>
      <rPr>
        <sz val="11"/>
        <color rgb="FF0A0A0A"/>
        <rFont val="Times New Roman"/>
        <family val="1"/>
      </rPr>
      <t xml:space="preserve">ASJ, </t>
    </r>
    <r>
      <rPr>
        <sz val="11"/>
        <rFont val="Times New Roman"/>
        <family val="1"/>
      </rPr>
      <t xml:space="preserve">Shrirampur  </t>
    </r>
    <r>
      <rPr>
        <sz val="11"/>
        <color rgb="FF2A2A2A"/>
        <rFont val="Times New Roman"/>
        <family val="1"/>
      </rPr>
      <t xml:space="preserve">- </t>
    </r>
    <r>
      <rPr>
        <sz val="11"/>
        <rFont val="Times New Roman"/>
        <family val="1"/>
      </rPr>
      <t xml:space="preserve">413 </t>
    </r>
    <r>
      <rPr>
        <sz val="11"/>
        <color rgb="FF0A0A0A"/>
        <rFont val="Times New Roman"/>
        <family val="1"/>
      </rPr>
      <t xml:space="preserve">709                   </t>
    </r>
  </si>
  <si>
    <r>
      <rPr>
        <sz val="11"/>
        <color rgb="FF080808"/>
        <rFont val="Times New Roman"/>
        <family val="1"/>
      </rPr>
      <t xml:space="preserve">District </t>
    </r>
    <r>
      <rPr>
        <sz val="11"/>
        <color rgb="FF070707"/>
        <rFont val="Times New Roman"/>
        <family val="1"/>
      </rPr>
      <t xml:space="preserve">Judge </t>
    </r>
    <r>
      <rPr>
        <sz val="11"/>
        <color rgb="FF3A3A3A"/>
        <rFont val="Times New Roman"/>
        <family val="1"/>
      </rPr>
      <t xml:space="preserve">— </t>
    </r>
    <r>
      <rPr>
        <sz val="11"/>
        <rFont val="Times New Roman"/>
        <family val="1"/>
      </rPr>
      <t xml:space="preserve">I   </t>
    </r>
    <r>
      <rPr>
        <sz val="11"/>
        <color rgb="FF161616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ISI, Civil Judge Senior Division </t>
    </r>
    <r>
      <rPr>
        <sz val="11"/>
        <color rgb="FF111111"/>
        <rFont val="Times New Roman"/>
        <family val="1"/>
      </rPr>
      <t xml:space="preserve">and </t>
    </r>
    <r>
      <rPr>
        <sz val="11"/>
        <rFont val="Times New Roman"/>
        <family val="1"/>
      </rPr>
      <t xml:space="preserve">Civil Judge,  Junior Division </t>
    </r>
    <r>
      <rPr>
        <sz val="11"/>
        <color rgb="FF151515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Judicial Magistrate, First Class, New Court Building, Newasa - </t>
    </r>
    <r>
      <rPr>
        <sz val="11"/>
        <color rgb="FF0C0C0C"/>
        <rFont val="Times New Roman"/>
        <family val="1"/>
      </rPr>
      <t xml:space="preserve">414 </t>
    </r>
    <r>
      <rPr>
        <sz val="11"/>
        <color rgb="FF0A0A0A"/>
        <rFont val="Times New Roman"/>
        <family val="1"/>
      </rPr>
      <t>603</t>
    </r>
  </si>
  <si>
    <r>
      <rPr>
        <sz val="11"/>
        <color rgb="FF0A0A0A"/>
        <rFont val="Times New Roman"/>
        <family val="1"/>
      </rPr>
      <t xml:space="preserve">Court </t>
    </r>
    <r>
      <rPr>
        <sz val="11"/>
        <color rgb="FF161616"/>
        <rFont val="Times New Roman"/>
        <family val="1"/>
      </rPr>
      <t xml:space="preserve">of </t>
    </r>
    <r>
      <rPr>
        <sz val="11"/>
        <rFont val="Times New Roman"/>
        <family val="1"/>
      </rPr>
      <t xml:space="preserve">Civil </t>
    </r>
    <r>
      <rPr>
        <sz val="11"/>
        <color rgb="FF080808"/>
        <rFont val="Times New Roman"/>
        <family val="1"/>
      </rPr>
      <t xml:space="preserve">Judge, </t>
    </r>
    <r>
      <rPr>
        <sz val="11"/>
        <color rgb="FF0A0A0A"/>
        <rFont val="Times New Roman"/>
        <family val="1"/>
      </rPr>
      <t xml:space="preserve">Junior </t>
    </r>
    <r>
      <rPr>
        <sz val="11"/>
        <color rgb="FF0E0E0E"/>
        <rFont val="Times New Roman"/>
        <family val="1"/>
      </rPr>
      <t xml:space="preserve">Division </t>
    </r>
    <r>
      <rPr>
        <sz val="11"/>
        <color rgb="FF131313"/>
        <rFont val="Times New Roman"/>
        <family val="1"/>
      </rPr>
      <t xml:space="preserve">&amp;
</t>
    </r>
    <r>
      <rPr>
        <sz val="11"/>
        <rFont val="Times New Roman"/>
        <family val="1"/>
      </rPr>
      <t xml:space="preserve">Judicial Magistrate, </t>
    </r>
    <r>
      <rPr>
        <sz val="11"/>
        <color rgb="FF030303"/>
        <rFont val="Times New Roman"/>
        <family val="1"/>
      </rPr>
      <t xml:space="preserve">First </t>
    </r>
    <r>
      <rPr>
        <sz val="11"/>
        <rFont val="Times New Roman"/>
        <family val="1"/>
      </rPr>
      <t xml:space="preserve">Class,New Court Building,  </t>
    </r>
    <r>
      <rPr>
        <sz val="11"/>
        <color rgb="FF0F0F0F"/>
        <rFont val="Times New Roman"/>
        <family val="1"/>
      </rPr>
      <t xml:space="preserve">Near </t>
    </r>
    <r>
      <rPr>
        <sz val="11"/>
        <rFont val="Times New Roman"/>
        <family val="1"/>
      </rPr>
      <t xml:space="preserve">Arole Wasti, Kamala Road, Jamkhed </t>
    </r>
    <r>
      <rPr>
        <sz val="11"/>
        <color rgb="FF050505"/>
        <rFont val="Times New Roman"/>
        <family val="1"/>
      </rPr>
      <t xml:space="preserve">- </t>
    </r>
    <r>
      <rPr>
        <sz val="11"/>
        <rFont val="Times New Roman"/>
        <family val="1"/>
      </rPr>
      <t xml:space="preserve">413 </t>
    </r>
    <r>
      <rPr>
        <sz val="11"/>
        <color rgb="FF0E0E0E"/>
        <rFont val="Times New Roman"/>
        <family val="1"/>
      </rPr>
      <t>201</t>
    </r>
  </si>
  <si>
    <r>
      <rPr>
        <sz val="11"/>
        <rFont val="Times New Roman"/>
        <family val="1"/>
      </rPr>
      <t xml:space="preserve">Court </t>
    </r>
    <r>
      <rPr>
        <sz val="11"/>
        <color rgb="FF0C0C0C"/>
        <rFont val="Times New Roman"/>
        <family val="1"/>
      </rPr>
      <t xml:space="preserve">of </t>
    </r>
    <r>
      <rPr>
        <sz val="11"/>
        <color rgb="FF050505"/>
        <rFont val="Times New Roman"/>
        <family val="1"/>
      </rPr>
      <t xml:space="preserve">Civil </t>
    </r>
    <r>
      <rPr>
        <sz val="11"/>
        <color rgb="FF0A0A0A"/>
        <rFont val="Times New Roman"/>
        <family val="1"/>
      </rPr>
      <t xml:space="preserve">Judge, </t>
    </r>
    <r>
      <rPr>
        <sz val="11"/>
        <rFont val="Times New Roman"/>
        <family val="1"/>
      </rPr>
      <t xml:space="preserve">Junior </t>
    </r>
    <r>
      <rPr>
        <sz val="11"/>
        <color rgb="FF070707"/>
        <rFont val="Times New Roman"/>
        <family val="1"/>
      </rPr>
      <t xml:space="preserve">Division </t>
    </r>
    <r>
      <rPr>
        <sz val="11"/>
        <color rgb="FF0A0A0A"/>
        <rFont val="Times New Roman"/>
        <family val="1"/>
      </rPr>
      <t xml:space="preserve">&amp;
</t>
    </r>
    <r>
      <rPr>
        <sz val="11"/>
        <rFont val="Times New Roman"/>
        <family val="1"/>
      </rPr>
      <t xml:space="preserve">Judicial Magistrate, rirst Class, Sillod - 431 J12                   </t>
    </r>
  </si>
  <si>
    <t>Court of Civil Judge, Junior Division &amp;
Judicial Magistrate, First Class, Rahata - 423107</t>
  </si>
  <si>
    <r>
      <rPr>
        <sz val="11"/>
        <rFont val="Times New Roman"/>
        <family val="1"/>
      </rPr>
      <t xml:space="preserve">Court </t>
    </r>
    <r>
      <rPr>
        <sz val="11"/>
        <color rgb="FF0F0F0F"/>
        <rFont val="Times New Roman"/>
        <family val="1"/>
      </rPr>
      <t xml:space="preserve">of Civil </t>
    </r>
    <r>
      <rPr>
        <sz val="11"/>
        <rFont val="Times New Roman"/>
        <family val="1"/>
      </rPr>
      <t xml:space="preserve">Judge,  Junior Division  </t>
    </r>
    <r>
      <rPr>
        <sz val="11"/>
        <color rgb="FF0F0F0F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Judicial Magistrate, First Class, Pathardi </t>
    </r>
    <r>
      <rPr>
        <sz val="11"/>
        <color rgb="FF0E0E0E"/>
        <rFont val="Times New Roman"/>
        <family val="1"/>
      </rPr>
      <t xml:space="preserve">- </t>
    </r>
    <r>
      <rPr>
        <b/>
        <sz val="11"/>
        <rFont val="Times New Roman"/>
        <family val="1"/>
      </rPr>
      <t xml:space="preserve">414 102       </t>
    </r>
  </si>
  <si>
    <r>
      <rPr>
        <sz val="11"/>
        <rFont val="Times New Roman"/>
        <family val="1"/>
      </rPr>
      <t xml:space="preserve">Court </t>
    </r>
    <r>
      <rPr>
        <sz val="11"/>
        <color rgb="FF0C0C0C"/>
        <rFont val="Times New Roman"/>
        <family val="1"/>
      </rPr>
      <t xml:space="preserve">of </t>
    </r>
    <r>
      <rPr>
        <sz val="11"/>
        <color rgb="FF080808"/>
        <rFont val="Times New Roman"/>
        <family val="1"/>
      </rPr>
      <t xml:space="preserve">Civil </t>
    </r>
    <r>
      <rPr>
        <sz val="11"/>
        <color rgb="FF0E0E0E"/>
        <rFont val="Times New Roman"/>
        <family val="1"/>
      </rPr>
      <t xml:space="preserve">J </t>
    </r>
    <r>
      <rPr>
        <sz val="11"/>
        <rFont val="Times New Roman"/>
        <family val="1"/>
      </rPr>
      <t xml:space="preserve">udge, Junior Division  </t>
    </r>
    <r>
      <rPr>
        <sz val="11"/>
        <color rgb="FF181818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Judicial Magistrate, First Class, Rahuri </t>
    </r>
    <r>
      <rPr>
        <sz val="11"/>
        <color rgb="FF0A0A0A"/>
        <rFont val="Times New Roman"/>
        <family val="1"/>
      </rPr>
      <t xml:space="preserve">- </t>
    </r>
    <r>
      <rPr>
        <sz val="11"/>
        <color rgb="FF050505"/>
        <rFont val="Times New Roman"/>
        <family val="1"/>
      </rPr>
      <t xml:space="preserve">413 </t>
    </r>
    <r>
      <rPr>
        <sz val="11"/>
        <rFont val="Times New Roman"/>
        <family val="1"/>
      </rPr>
      <t>705</t>
    </r>
  </si>
  <si>
    <r>
      <rPr>
        <sz val="11"/>
        <rFont val="Times New Roman"/>
        <family val="1"/>
      </rPr>
      <t xml:space="preserve">Family Court, </t>
    </r>
    <r>
      <rPr>
        <sz val="11"/>
        <color rgb="FF0A0A0A"/>
        <rFont val="Times New Roman"/>
        <family val="1"/>
      </rPr>
      <t xml:space="preserve">Old </t>
    </r>
    <r>
      <rPr>
        <sz val="11"/>
        <rFont val="Times New Roman"/>
        <family val="1"/>
      </rPr>
      <t xml:space="preserve">District </t>
    </r>
    <r>
      <rPr>
        <sz val="11"/>
        <color rgb="FF080808"/>
        <rFont val="Times New Roman"/>
        <family val="1"/>
      </rPr>
      <t xml:space="preserve">Gourt, </t>
    </r>
    <r>
      <rPr>
        <sz val="11"/>
        <rFont val="Times New Roman"/>
        <family val="1"/>
      </rPr>
      <t xml:space="preserve">Building, Opp Collector Office, Camp Amravati </t>
    </r>
    <r>
      <rPr>
        <sz val="11"/>
        <color rgb="FF1D1D1D"/>
        <rFont val="Times New Roman"/>
        <family val="1"/>
      </rPr>
      <t xml:space="preserve">- </t>
    </r>
    <r>
      <rPr>
        <sz val="11"/>
        <rFont val="Times New Roman"/>
        <family val="1"/>
      </rPr>
      <t>444 602    </t>
    </r>
  </si>
  <si>
    <r>
      <rPr>
        <sz val="11"/>
        <color rgb="FF0A0A0A"/>
        <rFont val="Times New Roman"/>
        <family val="1"/>
      </rPr>
      <t xml:space="preserve">Court </t>
    </r>
    <r>
      <rPr>
        <sz val="11"/>
        <rFont val="Times New Roman"/>
        <family val="1"/>
      </rPr>
      <t xml:space="preserve">of </t>
    </r>
    <r>
      <rPr>
        <sz val="11"/>
        <color rgb="FF0E0E0E"/>
        <rFont val="Times New Roman"/>
        <family val="1"/>
      </rPr>
      <t xml:space="preserve">Civil </t>
    </r>
    <r>
      <rPr>
        <sz val="11"/>
        <rFont val="Times New Roman"/>
        <family val="1"/>
      </rPr>
      <t xml:space="preserve">Judge, Junior Division  </t>
    </r>
    <r>
      <rPr>
        <sz val="11"/>
        <color rgb="FF131313"/>
        <rFont val="Times New Roman"/>
        <family val="1"/>
      </rPr>
      <t xml:space="preserve">&amp;
</t>
    </r>
    <r>
      <rPr>
        <sz val="11"/>
        <rFont val="Times New Roman"/>
        <family val="1"/>
      </rPr>
      <t xml:space="preserve">Judicial Magistrate, First Class, Gangapur </t>
    </r>
    <r>
      <rPr>
        <sz val="11"/>
        <color rgb="FF1F1F1F"/>
        <rFont val="Times New Roman"/>
        <family val="1"/>
      </rPr>
      <t xml:space="preserve">- </t>
    </r>
    <r>
      <rPr>
        <sz val="11"/>
        <color rgb="FF151515"/>
        <rFont val="Times New Roman"/>
        <family val="1"/>
      </rPr>
      <t>431109</t>
    </r>
  </si>
  <si>
    <r>
      <rPr>
        <sz val="11"/>
        <rFont val="Times New Roman"/>
        <family val="1"/>
      </rPr>
      <t xml:space="preserve">District  Judge </t>
    </r>
    <r>
      <rPr>
        <sz val="11"/>
        <color rgb="FF181818"/>
        <rFont val="Times New Roman"/>
        <family val="1"/>
      </rPr>
      <t xml:space="preserve">- </t>
    </r>
    <r>
      <rPr>
        <sz val="11"/>
        <color rgb="FF4D4D4D"/>
        <rFont val="Times New Roman"/>
        <family val="1"/>
      </rPr>
      <t xml:space="preserve">1  </t>
    </r>
    <r>
      <rPr>
        <sz val="11"/>
        <color rgb="FF262626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ASJ, Majalgaon </t>
    </r>
    <r>
      <rPr>
        <sz val="11"/>
        <color rgb="FF161616"/>
        <rFont val="Times New Roman"/>
        <family val="1"/>
      </rPr>
      <t xml:space="preserve">- </t>
    </r>
    <r>
      <rPr>
        <sz val="11"/>
        <color rgb="FF0F0F0F"/>
        <rFont val="Times New Roman"/>
        <family val="1"/>
      </rPr>
      <t>431 127</t>
    </r>
  </si>
  <si>
    <r>
      <rPr>
        <sz val="11"/>
        <rFont val="Times New Roman"/>
        <family val="1"/>
      </rPr>
      <t xml:space="preserve">Court of Civil </t>
    </r>
    <r>
      <rPr>
        <sz val="11"/>
        <color rgb="FF050505"/>
        <rFont val="Times New Roman"/>
        <family val="1"/>
      </rPr>
      <t xml:space="preserve">Judge, </t>
    </r>
    <r>
      <rPr>
        <sz val="11"/>
        <rFont val="Times New Roman"/>
        <family val="1"/>
      </rPr>
      <t xml:space="preserve">Sernor Division  </t>
    </r>
    <r>
      <rPr>
        <sz val="11"/>
        <color rgb="FF161616"/>
        <rFont val="Times New Roman"/>
        <family val="1"/>
      </rPr>
      <t xml:space="preserve">&amp; </t>
    </r>
    <r>
      <rPr>
        <sz val="11"/>
        <color rgb="FF080808"/>
        <rFont val="Times New Roman"/>
        <family val="1"/>
      </rPr>
      <t xml:space="preserve">Junior </t>
    </r>
    <r>
      <rPr>
        <sz val="11"/>
        <color rgb="FF070707"/>
        <rFont val="Times New Roman"/>
        <family val="1"/>
      </rPr>
      <t xml:space="preserve">Division </t>
    </r>
    <r>
      <rPr>
        <sz val="11"/>
        <color rgb="FF212121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Judicial Magistrate,  </t>
    </r>
    <r>
      <rPr>
        <sz val="11"/>
        <color rgb="FF0A0A0A"/>
        <rFont val="Times New Roman"/>
        <family val="1"/>
      </rPr>
      <t xml:space="preserve">First Class, </t>
    </r>
    <r>
      <rPr>
        <sz val="11"/>
        <rFont val="Times New Roman"/>
        <family val="1"/>
      </rPr>
      <t xml:space="preserve">Shivaji </t>
    </r>
    <r>
      <rPr>
        <sz val="11"/>
        <color rgb="FF0A0A0A"/>
        <rFont val="Times New Roman"/>
        <family val="1"/>
      </rPr>
      <t xml:space="preserve">Chowk,  </t>
    </r>
    <r>
      <rPr>
        <sz val="11"/>
        <rFont val="Times New Roman"/>
        <family val="1"/>
      </rPr>
      <t xml:space="preserve">Deed  Road,  Ambajogai </t>
    </r>
    <r>
      <rPr>
        <sz val="11"/>
        <color rgb="FF1A1A1A"/>
        <rFont val="Times New Roman"/>
        <family val="1"/>
      </rPr>
      <t xml:space="preserve">- </t>
    </r>
    <r>
      <rPr>
        <sz val="11"/>
        <color rgb="FF161616"/>
        <rFont val="Times New Roman"/>
        <family val="1"/>
      </rPr>
      <t>43</t>
    </r>
    <r>
      <rPr>
        <sz val="11"/>
        <color rgb="FF494949"/>
        <rFont val="Times New Roman"/>
        <family val="1"/>
      </rPr>
      <t>1 5</t>
    </r>
    <r>
      <rPr>
        <sz val="11"/>
        <rFont val="Times New Roman"/>
        <family val="1"/>
      </rPr>
      <t>17</t>
    </r>
  </si>
  <si>
    <r>
      <rPr>
        <sz val="11"/>
        <rFont val="Times New Roman"/>
        <family val="1"/>
      </rPr>
      <t xml:space="preserve">Court  of Civil Judge, Junior Division  </t>
    </r>
    <r>
      <rPr>
        <sz val="11"/>
        <color rgb="FF111111"/>
        <rFont val="Times New Roman"/>
        <family val="1"/>
      </rPr>
      <t xml:space="preserve">&amp; </t>
    </r>
    <r>
      <rPr>
        <sz val="11"/>
        <color rgb="FF080808"/>
        <rFont val="Times New Roman"/>
        <family val="1"/>
      </rPr>
      <t xml:space="preserve">Judicial </t>
    </r>
    <r>
      <rPr>
        <sz val="11"/>
        <rFont val="Times New Roman"/>
        <family val="1"/>
      </rPr>
      <t xml:space="preserve">Magistrate, first Class, Patoda </t>
    </r>
    <r>
      <rPr>
        <sz val="11"/>
        <color rgb="FF181818"/>
        <rFont val="Times New Roman"/>
        <family val="1"/>
      </rPr>
      <t xml:space="preserve">- </t>
    </r>
    <r>
      <rPr>
        <sz val="11"/>
        <color rgb="FF080808"/>
        <rFont val="Times New Roman"/>
        <family val="1"/>
      </rPr>
      <t xml:space="preserve">414 </t>
    </r>
    <r>
      <rPr>
        <sz val="11"/>
        <color rgb="FF111111"/>
        <rFont val="Times New Roman"/>
        <family val="1"/>
      </rPr>
      <t>204</t>
    </r>
  </si>
  <si>
    <r>
      <rPr>
        <sz val="11"/>
        <rFont val="Times New Roman"/>
        <family val="1"/>
      </rPr>
      <t xml:space="preserve">Court  of Civil Judge, Junior Division  </t>
    </r>
    <r>
      <rPr>
        <sz val="11"/>
        <color rgb="FF212121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Judicial Magistrate, First Class, </t>
    </r>
    <r>
      <rPr>
        <sz val="11"/>
        <color rgb="FF0A0A0A"/>
        <rFont val="Times New Roman"/>
        <family val="1"/>
      </rPr>
      <t xml:space="preserve">Yes </t>
    </r>
    <r>
      <rPr>
        <sz val="11"/>
        <rFont val="Times New Roman"/>
        <family val="1"/>
      </rPr>
      <t xml:space="preserve">Parali </t>
    </r>
    <r>
      <rPr>
        <sz val="11"/>
        <color rgb="FF0C0C0C"/>
        <rFont val="Times New Roman"/>
        <family val="1"/>
      </rPr>
      <t xml:space="preserve">Road </t>
    </r>
    <r>
      <rPr>
        <sz val="11"/>
        <color rgb="FF070707"/>
        <rFont val="Times New Roman"/>
        <family val="1"/>
      </rPr>
      <t xml:space="preserve">Near </t>
    </r>
    <r>
      <rPr>
        <sz val="11"/>
        <rFont val="Times New Roman"/>
        <family val="1"/>
      </rPr>
      <t xml:space="preserve">Tahashil </t>
    </r>
    <r>
      <rPr>
        <sz val="11"/>
        <color rgb="FF050505"/>
        <rFont val="Times New Roman"/>
        <family val="1"/>
      </rPr>
      <t xml:space="preserve">Office </t>
    </r>
    <r>
      <rPr>
        <sz val="11"/>
        <rFont val="Times New Roman"/>
        <family val="1"/>
      </rPr>
      <t xml:space="preserve">Wadwani- </t>
    </r>
    <r>
      <rPr>
        <sz val="11"/>
        <color rgb="FF0C0C0C"/>
        <rFont val="Times New Roman"/>
        <family val="1"/>
      </rPr>
      <t>431 122</t>
    </r>
  </si>
  <si>
    <r>
      <rPr>
        <sz val="11"/>
        <rFont val="Times New Roman"/>
        <family val="1"/>
      </rPr>
      <t xml:space="preserve">Juge, Family Court, 2nd Floor,  West Side, Old District  Court Building, In premises  of District </t>
    </r>
    <r>
      <rPr>
        <sz val="11"/>
        <color rgb="FF080808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Beed </t>
    </r>
    <r>
      <rPr>
        <sz val="11"/>
        <color rgb="FF282828"/>
        <rFont val="Times New Roman"/>
        <family val="1"/>
      </rPr>
      <t xml:space="preserve">- </t>
    </r>
    <r>
      <rPr>
        <sz val="11"/>
        <rFont val="Times New Roman"/>
        <family val="1"/>
      </rPr>
      <t>431  122</t>
    </r>
  </si>
  <si>
    <r>
      <rPr>
        <sz val="11"/>
        <rFont val="Times New Roman"/>
        <family val="1"/>
      </rPr>
      <t xml:space="preserve">District  </t>
    </r>
    <r>
      <rPr>
        <sz val="11"/>
        <color rgb="FF0F0F0F"/>
        <rFont val="Times New Roman"/>
        <family val="1"/>
      </rPr>
      <t xml:space="preserve">&amp;  </t>
    </r>
    <r>
      <rPr>
        <sz val="11"/>
        <rFont val="Times New Roman"/>
        <family val="1"/>
      </rPr>
      <t xml:space="preserve">Sessions Court, </t>
    </r>
    <r>
      <rPr>
        <sz val="11"/>
        <color rgb="FF070707"/>
        <rFont val="Times New Roman"/>
        <family val="1"/>
      </rPr>
      <t xml:space="preserve">District </t>
    </r>
    <r>
      <rPr>
        <sz val="11"/>
        <rFont val="Times New Roman"/>
        <family val="1"/>
      </rPr>
      <t xml:space="preserve">Court </t>
    </r>
    <r>
      <rPr>
        <sz val="11"/>
        <color rgb="FF0F0F0F"/>
        <rFont val="Times New Roman"/>
        <family val="1"/>
      </rPr>
      <t xml:space="preserve">Building,  </t>
    </r>
    <r>
      <rPr>
        <sz val="11"/>
        <rFont val="Times New Roman"/>
        <family val="1"/>
      </rPr>
      <t xml:space="preserve">National  </t>
    </r>
    <r>
      <rPr>
        <sz val="11"/>
        <color rgb="FF131313"/>
        <rFont val="Times New Roman"/>
        <family val="1"/>
      </rPr>
      <t xml:space="preserve">I </t>
    </r>
    <r>
      <rPr>
        <sz val="11"/>
        <rFont val="Times New Roman"/>
        <family val="1"/>
      </rPr>
      <t xml:space="preserve">lighway </t>
    </r>
    <r>
      <rPr>
        <sz val="11"/>
        <color rgb="FF131313"/>
        <rFont val="Times New Roman"/>
        <family val="1"/>
      </rPr>
      <t xml:space="preserve">6, </t>
    </r>
    <r>
      <rPr>
        <sz val="11"/>
        <color rgb="FF0C0C0C"/>
        <rFont val="Times New Roman"/>
        <family val="1"/>
      </rPr>
      <t xml:space="preserve">Civil </t>
    </r>
    <r>
      <rPr>
        <sz val="11"/>
        <rFont val="Times New Roman"/>
        <family val="1"/>
      </rPr>
      <t xml:space="preserve">lines, </t>
    </r>
    <r>
      <rPr>
        <sz val="11"/>
        <color rgb="FF0C0C0C"/>
        <rFont val="Times New Roman"/>
        <family val="1"/>
      </rPr>
      <t xml:space="preserve">Bhandara </t>
    </r>
    <r>
      <rPr>
        <sz val="11"/>
        <rFont val="Times New Roman"/>
        <family val="1"/>
      </rPr>
      <t xml:space="preserve">Tah.  </t>
    </r>
    <r>
      <rPr>
        <sz val="11"/>
        <color rgb="FF070707"/>
        <rFont val="Times New Roman"/>
        <family val="1"/>
      </rPr>
      <t xml:space="preserve">District  </t>
    </r>
    <r>
      <rPr>
        <sz val="11"/>
        <rFont val="Times New Roman"/>
        <family val="1"/>
      </rPr>
      <t xml:space="preserve">Bhandara  </t>
    </r>
    <r>
      <rPr>
        <sz val="11"/>
        <color rgb="FF2B2B2B"/>
        <rFont val="Times New Roman"/>
        <family val="1"/>
      </rPr>
      <t xml:space="preserve">- </t>
    </r>
    <r>
      <rPr>
        <sz val="11"/>
        <color rgb="FF0C0C0C"/>
        <rFont val="Times New Roman"/>
        <family val="1"/>
      </rPr>
      <t xml:space="preserve">441  </t>
    </r>
    <r>
      <rPr>
        <sz val="11"/>
        <rFont val="Times New Roman"/>
        <family val="1"/>
      </rPr>
      <t>904</t>
    </r>
  </si>
  <si>
    <r>
      <rPr>
        <sz val="11"/>
        <rFont val="Times New Roman"/>
        <family val="1"/>
      </rPr>
      <t xml:space="preserve">District  Judge </t>
    </r>
    <r>
      <rPr>
        <sz val="11"/>
        <color rgb="FF3F3F3F"/>
        <rFont val="Times New Roman"/>
        <family val="1"/>
      </rPr>
      <t xml:space="preserve">- </t>
    </r>
    <r>
      <rPr>
        <sz val="11"/>
        <color rgb="FF111111"/>
        <rFont val="Times New Roman"/>
        <family val="1"/>
      </rPr>
      <t xml:space="preserve">1  </t>
    </r>
    <r>
      <rPr>
        <sz val="11"/>
        <color rgb="FF1A1A1A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.ASI, Khamgaon  </t>
    </r>
    <r>
      <rPr>
        <sz val="11"/>
        <color rgb="FF131313"/>
        <rFont val="Times New Roman"/>
        <family val="1"/>
      </rPr>
      <t xml:space="preserve">- </t>
    </r>
    <r>
      <rPr>
        <sz val="11"/>
        <color rgb="FF111111"/>
        <rFont val="Times New Roman"/>
        <family val="1"/>
      </rPr>
      <t xml:space="preserve">444 </t>
    </r>
    <r>
      <rPr>
        <sz val="11"/>
        <color rgb="FF1A1A1A"/>
        <rFont val="Times New Roman"/>
        <family val="1"/>
      </rPr>
      <t>303</t>
    </r>
  </si>
  <si>
    <r>
      <rPr>
        <sz val="11"/>
        <rFont val="Times New Roman"/>
        <family val="1"/>
      </rPr>
      <t xml:space="preserve">District  </t>
    </r>
    <r>
      <rPr>
        <sz val="11"/>
        <color rgb="FF181818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Sessions Court, Gadchiroli </t>
    </r>
    <r>
      <rPr>
        <sz val="11"/>
        <color rgb="FF1F1F1F"/>
        <rFont val="Times New Roman"/>
        <family val="1"/>
      </rPr>
      <t xml:space="preserve">- </t>
    </r>
    <r>
      <rPr>
        <sz val="11"/>
        <color rgb="FF0F0F0F"/>
        <rFont val="Times New Roman"/>
        <family val="1"/>
      </rPr>
      <t xml:space="preserve">442 </t>
    </r>
    <r>
      <rPr>
        <sz val="11"/>
        <color rgb="FF0A0A0A"/>
        <rFont val="Times New Roman"/>
        <family val="1"/>
      </rPr>
      <t>605</t>
    </r>
  </si>
  <si>
    <r>
      <rPr>
        <sz val="11"/>
        <color rgb="FF0A0A0A"/>
        <rFont val="Times New Roman"/>
        <family val="1"/>
      </rPr>
      <t xml:space="preserve">Civil cum </t>
    </r>
    <r>
      <rPr>
        <sz val="11"/>
        <rFont val="Times New Roman"/>
        <family val="1"/>
      </rPr>
      <t xml:space="preserve">Criminal  </t>
    </r>
    <r>
      <rPr>
        <sz val="11"/>
        <color rgb="FF070707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Gat No.140/2, Dongaon  </t>
    </r>
    <r>
      <rPr>
        <sz val="11"/>
        <color rgb="FF0A0A0A"/>
        <rFont val="Times New Roman"/>
        <family val="1"/>
      </rPr>
      <t xml:space="preserve">Shivar, </t>
    </r>
    <r>
      <rPr>
        <sz val="11"/>
        <rFont val="Times New Roman"/>
        <family val="1"/>
      </rPr>
      <t xml:space="preserve">Near Tahsil </t>
    </r>
    <r>
      <rPr>
        <sz val="11"/>
        <color rgb="FF080808"/>
        <rFont val="Times New Roman"/>
        <family val="1"/>
      </rPr>
      <t xml:space="preserve">Office, </t>
    </r>
    <r>
      <rPr>
        <sz val="11"/>
        <rFont val="Times New Roman"/>
        <family val="1"/>
      </rPr>
      <t xml:space="preserve">Bhadgaon </t>
    </r>
    <r>
      <rPr>
        <sz val="11"/>
        <color rgb="FF1F1F1F"/>
        <rFont val="Times New Roman"/>
        <family val="1"/>
      </rPr>
      <t xml:space="preserve">— </t>
    </r>
    <r>
      <rPr>
        <sz val="11"/>
        <color rgb="FF111111"/>
        <rFont val="Times New Roman"/>
        <family val="1"/>
      </rPr>
      <t xml:space="preserve">424 </t>
    </r>
    <r>
      <rPr>
        <sz val="11"/>
        <color rgb="FF0A0A0A"/>
        <rFont val="Times New Roman"/>
        <family val="1"/>
      </rPr>
      <t>105</t>
    </r>
  </si>
  <si>
    <r>
      <rPr>
        <sz val="11"/>
        <rFont val="Times New Roman"/>
        <family val="1"/>
      </rPr>
      <t xml:space="preserve">Civil cum Criminal Court, </t>
    </r>
    <r>
      <rPr>
        <sz val="11"/>
        <color rgb="FF0C0C0C"/>
        <rFont val="Times New Roman"/>
        <family val="1"/>
      </rPr>
      <t xml:space="preserve">Near </t>
    </r>
    <r>
      <rPr>
        <sz val="11"/>
        <rFont val="Times New Roman"/>
        <family val="1"/>
      </rPr>
      <t xml:space="preserve">N.H.06, Parola </t>
    </r>
    <r>
      <rPr>
        <sz val="11"/>
        <color rgb="FF232323"/>
        <rFont val="Times New Roman"/>
        <family val="1"/>
      </rPr>
      <t xml:space="preserve">- </t>
    </r>
    <r>
      <rPr>
        <sz val="11"/>
        <color rgb="FF0C0C0C"/>
        <rFont val="Times New Roman"/>
        <family val="1"/>
      </rPr>
      <t xml:space="preserve">425 </t>
    </r>
    <r>
      <rPr>
        <sz val="11"/>
        <color rgb="FF0F0F0F"/>
        <rFont val="Times New Roman"/>
        <family val="1"/>
      </rPr>
      <t xml:space="preserve">111   </t>
    </r>
  </si>
  <si>
    <r>
      <rPr>
        <sz val="11"/>
        <color rgb="FF070707"/>
        <rFont val="Times New Roman"/>
        <family val="1"/>
      </rPr>
      <t xml:space="preserve">Court </t>
    </r>
    <r>
      <rPr>
        <sz val="11"/>
        <color rgb="FF0C0C0C"/>
        <rFont val="Times New Roman"/>
        <family val="1"/>
      </rPr>
      <t xml:space="preserve">of </t>
    </r>
    <r>
      <rPr>
        <sz val="11"/>
        <rFont val="Times New Roman"/>
        <family val="1"/>
      </rPr>
      <t xml:space="preserve">Civil Judge, Junior Division and </t>
    </r>
    <r>
      <rPr>
        <sz val="11"/>
        <color rgb="FF0C0C0C"/>
        <rFont val="Times New Roman"/>
        <family val="1"/>
      </rPr>
      <t xml:space="preserve">Judicial </t>
    </r>
    <r>
      <rPr>
        <sz val="11"/>
        <color rgb="FF0F0F0F"/>
        <rFont val="Times New Roman"/>
        <family val="1"/>
      </rPr>
      <t xml:space="preserve">Magistrate  </t>
    </r>
    <r>
      <rPr>
        <sz val="11"/>
        <rFont val="Times New Roman"/>
        <family val="1"/>
      </rPr>
      <t xml:space="preserve">first Class, Old  Panchayat  Samitee Building, Nanded Hingoli Road, </t>
    </r>
    <r>
      <rPr>
        <sz val="11"/>
        <color rgb="FF0F0F0F"/>
        <rFont val="Times New Roman"/>
        <family val="1"/>
      </rPr>
      <t xml:space="preserve">Ardhapur </t>
    </r>
    <r>
      <rPr>
        <sz val="11"/>
        <color rgb="FF313131"/>
        <rFont val="Times New Roman"/>
        <family val="1"/>
      </rPr>
      <t xml:space="preserve">- </t>
    </r>
    <r>
      <rPr>
        <sz val="11"/>
        <color rgb="FF0F0F0F"/>
        <rFont val="Times New Roman"/>
        <family val="1"/>
      </rPr>
      <t>431 704.</t>
    </r>
  </si>
  <si>
    <r>
      <rPr>
        <sz val="11"/>
        <rFont val="Times New Roman"/>
        <family val="1"/>
      </rPr>
      <t xml:space="preserve">Labour </t>
    </r>
    <r>
      <rPr>
        <sz val="11"/>
        <color rgb="FF0F0F0F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Vakratund Plaza, Yashwant Nagar, </t>
    </r>
    <r>
      <rPr>
        <sz val="11"/>
        <color rgb="FF0F0F0F"/>
        <rFont val="Times New Roman"/>
        <family val="1"/>
      </rPr>
      <t xml:space="preserve">Plot </t>
    </r>
    <r>
      <rPr>
        <sz val="11"/>
        <rFont val="Times New Roman"/>
        <family val="1"/>
      </rPr>
      <t>No.</t>
    </r>
    <r>
      <rPr>
        <sz val="11"/>
        <color rgb="FF181818"/>
        <rFont val="Times New Roman"/>
        <family val="1"/>
      </rPr>
      <t xml:space="preserve">139, </t>
    </r>
    <r>
      <rPr>
        <sz val="11"/>
        <rFont val="Times New Roman"/>
        <family val="1"/>
      </rPr>
      <t xml:space="preserve">Pawadewadi  </t>
    </r>
    <r>
      <rPr>
        <sz val="11"/>
        <color rgb="FF070707"/>
        <rFont val="Times New Roman"/>
        <family val="1"/>
      </rPr>
      <t xml:space="preserve">Naka </t>
    </r>
    <r>
      <rPr>
        <sz val="11"/>
        <color rgb="FF0A0A0A"/>
        <rFont val="Times New Roman"/>
        <family val="1"/>
      </rPr>
      <t xml:space="preserve">Road </t>
    </r>
    <r>
      <rPr>
        <sz val="11"/>
        <rFont val="Times New Roman"/>
        <family val="1"/>
      </rPr>
      <t xml:space="preserve">Nanded </t>
    </r>
    <r>
      <rPr>
        <sz val="11"/>
        <color rgb="FF1F1F1F"/>
        <rFont val="Times New Roman"/>
        <family val="1"/>
      </rPr>
      <t xml:space="preserve">- </t>
    </r>
    <r>
      <rPr>
        <sz val="11"/>
        <color rgb="FF131313"/>
        <rFont val="Times New Roman"/>
        <family val="1"/>
      </rPr>
      <t xml:space="preserve">431  </t>
    </r>
    <r>
      <rPr>
        <sz val="11"/>
        <color rgb="FF0F0F0F"/>
        <rFont val="Times New Roman"/>
        <family val="1"/>
      </rPr>
      <t>602</t>
    </r>
  </si>
  <si>
    <r>
      <rPr>
        <sz val="11"/>
        <rFont val="Times New Roman"/>
        <family val="1"/>
      </rPr>
      <t xml:space="preserve">District  Judge </t>
    </r>
    <r>
      <rPr>
        <sz val="11"/>
        <color rgb="FF212121"/>
        <rFont val="Times New Roman"/>
        <family val="1"/>
      </rPr>
      <t xml:space="preserve">- </t>
    </r>
    <r>
      <rPr>
        <sz val="11"/>
        <color rgb="FF131313"/>
        <rFont val="Times New Roman"/>
        <family val="1"/>
      </rPr>
      <t xml:space="preserve">1, </t>
    </r>
    <r>
      <rPr>
        <sz val="11"/>
        <rFont val="Times New Roman"/>
        <family val="1"/>
      </rPr>
      <t>District Court, Shahada - 425 409</t>
    </r>
  </si>
  <si>
    <r>
      <rPr>
        <sz val="11"/>
        <rFont val="Times New Roman"/>
        <family val="1"/>
      </rPr>
      <t xml:space="preserve">Court of Civil Judge, Senior Division and Judicial Magistrate,  </t>
    </r>
    <r>
      <rPr>
        <sz val="11"/>
        <color rgb="FF080808"/>
        <rFont val="Times New Roman"/>
        <family val="1"/>
      </rPr>
      <t xml:space="preserve">First </t>
    </r>
    <r>
      <rPr>
        <sz val="11"/>
        <rFont val="Times New Roman"/>
        <family val="1"/>
      </rPr>
      <t xml:space="preserve">Class, Opposite Government  Office Complex, </t>
    </r>
    <r>
      <rPr>
        <sz val="11"/>
        <color rgb="FF0C0C0C"/>
        <rFont val="Times New Roman"/>
        <family val="1"/>
      </rPr>
      <t xml:space="preserve">Ponda </t>
    </r>
    <r>
      <rPr>
        <sz val="11"/>
        <color rgb="FF282828"/>
        <rFont val="Times New Roman"/>
        <family val="1"/>
      </rPr>
      <t xml:space="preserve">— </t>
    </r>
    <r>
      <rPr>
        <sz val="11"/>
        <color rgb="FF080808"/>
        <rFont val="Times New Roman"/>
        <family val="1"/>
      </rPr>
      <t xml:space="preserve">403 </t>
    </r>
    <r>
      <rPr>
        <sz val="11"/>
        <color rgb="FF0C0C0C"/>
        <rFont val="Times New Roman"/>
        <family val="1"/>
      </rPr>
      <t>401</t>
    </r>
  </si>
  <si>
    <r>
      <rPr>
        <sz val="11"/>
        <rFont val="Times New Roman"/>
        <family val="1"/>
      </rPr>
      <t xml:space="preserve">Court </t>
    </r>
    <r>
      <rPr>
        <sz val="11"/>
        <color rgb="FF0A0A0A"/>
        <rFont val="Times New Roman"/>
        <family val="1"/>
      </rPr>
      <t xml:space="preserve">of </t>
    </r>
    <r>
      <rPr>
        <sz val="11"/>
        <color rgb="FF080808"/>
        <rFont val="Times New Roman"/>
        <family val="1"/>
      </rPr>
      <t xml:space="preserve">the </t>
    </r>
    <r>
      <rPr>
        <sz val="11"/>
        <rFont val="Times New Roman"/>
        <family val="1"/>
      </rPr>
      <t xml:space="preserve">Senior Civil </t>
    </r>
    <r>
      <rPr>
        <sz val="11"/>
        <color rgb="FF0C0C0C"/>
        <rFont val="Times New Roman"/>
        <family val="1"/>
      </rPr>
      <t xml:space="preserve">Judge &amp; </t>
    </r>
    <r>
      <rPr>
        <sz val="11"/>
        <rFont val="Times New Roman"/>
        <family val="1"/>
      </rPr>
      <t xml:space="preserve">Chief Judicial Magistrate,  </t>
    </r>
    <r>
      <rPr>
        <sz val="11"/>
        <color rgb="FF070707"/>
        <rFont val="Times New Roman"/>
        <family val="1"/>
      </rPr>
      <t xml:space="preserve">North </t>
    </r>
    <r>
      <rPr>
        <sz val="11"/>
        <color rgb="FF080808"/>
        <rFont val="Times New Roman"/>
        <family val="1"/>
      </rPr>
      <t xml:space="preserve">Noa, </t>
    </r>
    <r>
      <rPr>
        <sz val="11"/>
        <rFont val="Times New Roman"/>
        <family val="1"/>
      </rPr>
      <t>Lyceum Complex,  Altinho, Panji-Goa </t>
    </r>
    <r>
      <rPr>
        <sz val="11"/>
        <color rgb="FF111111"/>
        <rFont val="Times New Roman"/>
        <family val="1"/>
      </rPr>
      <t xml:space="preserve">403 </t>
    </r>
    <r>
      <rPr>
        <sz val="11"/>
        <color rgb="FF070707"/>
        <rFont val="Times New Roman"/>
        <family val="1"/>
      </rPr>
      <t>001</t>
    </r>
  </si>
  <si>
    <r>
      <rPr>
        <sz val="11"/>
        <rFont val="Times New Roman"/>
        <family val="1"/>
      </rPr>
      <t xml:space="preserve">Additional  District  and Sessions </t>
    </r>
    <r>
      <rPr>
        <sz val="11"/>
        <color rgb="FF0F0F0F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Kallam </t>
    </r>
    <r>
      <rPr>
        <sz val="11"/>
        <color rgb="FF2D2D2D"/>
        <rFont val="Times New Roman"/>
        <family val="1"/>
      </rPr>
      <t xml:space="preserve">- </t>
    </r>
    <r>
      <rPr>
        <sz val="11"/>
        <color rgb="FF111111"/>
        <rFont val="Times New Roman"/>
        <family val="1"/>
      </rPr>
      <t xml:space="preserve">413 </t>
    </r>
    <r>
      <rPr>
        <sz val="11"/>
        <rFont val="Times New Roman"/>
        <family val="1"/>
      </rPr>
      <t>507</t>
    </r>
  </si>
  <si>
    <r>
      <rPr>
        <sz val="11"/>
        <rFont val="Times New Roman"/>
        <family val="1"/>
      </rPr>
      <t xml:space="preserve">Additional  District  and Sessions Court, Paranda </t>
    </r>
    <r>
      <rPr>
        <sz val="11"/>
        <color rgb="FF080808"/>
        <rFont val="Times New Roman"/>
        <family val="1"/>
      </rPr>
      <t xml:space="preserve">- </t>
    </r>
    <r>
      <rPr>
        <sz val="11"/>
        <color rgb="FF0F0F0F"/>
        <rFont val="Times New Roman"/>
        <family val="1"/>
      </rPr>
      <t>41</t>
    </r>
    <r>
      <rPr>
        <sz val="11"/>
        <rFont val="Times New Roman"/>
        <family val="1"/>
      </rPr>
      <t>S 502</t>
    </r>
  </si>
  <si>
    <r>
      <rPr>
        <sz val="11"/>
        <rFont val="Times New Roman"/>
        <family val="1"/>
      </rPr>
      <t xml:space="preserve">Court </t>
    </r>
    <r>
      <rPr>
        <sz val="11"/>
        <color rgb="FF0F0F0F"/>
        <rFont val="Times New Roman"/>
        <family val="1"/>
      </rPr>
      <t xml:space="preserve">of Civil </t>
    </r>
    <r>
      <rPr>
        <sz val="11"/>
        <rFont val="Times New Roman"/>
        <family val="1"/>
      </rPr>
      <t xml:space="preserve">Judge Senior Division </t>
    </r>
    <r>
      <rPr>
        <sz val="11"/>
        <color rgb="FF111111"/>
        <rFont val="Times New Roman"/>
        <family val="1"/>
      </rPr>
      <t xml:space="preserve">&amp; </t>
    </r>
    <r>
      <rPr>
        <sz val="11"/>
        <rFont val="Times New Roman"/>
        <family val="1"/>
      </rPr>
      <t>Junior Division and Judicial Magistrate,  First Class, Bhoom - 413 504</t>
    </r>
  </si>
  <si>
    <r>
      <rPr>
        <sz val="11"/>
        <rFont val="Times New Roman"/>
        <family val="1"/>
      </rPr>
      <t xml:space="preserve">Civil Court, Dauiid, P.W.D.  Rest House, Daund, District Pune - </t>
    </r>
    <r>
      <rPr>
        <sz val="11"/>
        <color rgb="FF0C0C0C"/>
        <rFont val="Times New Roman"/>
        <family val="1"/>
      </rPr>
      <t xml:space="preserve">413 </t>
    </r>
    <r>
      <rPr>
        <sz val="11"/>
        <rFont val="Times New Roman"/>
        <family val="1"/>
      </rPr>
      <t>801</t>
    </r>
  </si>
  <si>
    <r>
      <rPr>
        <sz val="11"/>
        <rFont val="Times New Roman"/>
        <family val="1"/>
      </rPr>
      <t xml:space="preserve">Family </t>
    </r>
    <r>
      <rPr>
        <sz val="11"/>
        <color rgb="FF070707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S.No.34,  final Plot No.816/1, Near District  </t>
    </r>
    <r>
      <rPr>
        <sz val="11"/>
        <color rgb="FF111111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Sessions Court, Shivajinagar, Pune  411 008                </t>
    </r>
  </si>
  <si>
    <r>
      <rPr>
        <sz val="11"/>
        <rFont val="Times New Roman"/>
        <family val="1"/>
      </rPr>
      <t xml:space="preserve">Maharashtra  State Cooperative  Appellate Court, </t>
    </r>
    <r>
      <rPr>
        <sz val="11"/>
        <color rgb="FF0E0E0E"/>
        <rFont val="Times New Roman"/>
        <family val="1"/>
      </rPr>
      <t xml:space="preserve">Bench </t>
    </r>
    <r>
      <rPr>
        <sz val="11"/>
        <rFont val="Times New Roman"/>
        <family val="1"/>
      </rPr>
      <t xml:space="preserve">Pune, P.M.T., Building Swarget, Pune </t>
    </r>
    <r>
      <rPr>
        <sz val="11"/>
        <color rgb="FF080808"/>
        <rFont val="Times New Roman"/>
        <family val="1"/>
      </rPr>
      <t xml:space="preserve">- </t>
    </r>
    <r>
      <rPr>
        <sz val="11"/>
        <color rgb="FF030303"/>
        <rFont val="Times New Roman"/>
        <family val="1"/>
      </rPr>
      <t xml:space="preserve">414  </t>
    </r>
    <r>
      <rPr>
        <sz val="11"/>
        <color rgb="FF111111"/>
        <rFont val="Times New Roman"/>
        <family val="1"/>
      </rPr>
      <t>042</t>
    </r>
  </si>
  <si>
    <r>
      <rPr>
        <sz val="11"/>
        <rFont val="Times New Roman"/>
        <family val="1"/>
      </rPr>
      <t xml:space="preserve">Court of </t>
    </r>
    <r>
      <rPr>
        <sz val="11"/>
        <color rgb="FF0C0C0C"/>
        <rFont val="Times New Roman"/>
        <family val="1"/>
      </rPr>
      <t xml:space="preserve">Civil Judge, </t>
    </r>
    <r>
      <rPr>
        <sz val="11"/>
        <color rgb="FF0F0F0F"/>
        <rFont val="Times New Roman"/>
        <family val="1"/>
      </rPr>
      <t xml:space="preserve">Junior </t>
    </r>
    <r>
      <rPr>
        <sz val="11"/>
        <color rgb="FF0A0A0A"/>
        <rFont val="Times New Roman"/>
        <family val="1"/>
      </rPr>
      <t xml:space="preserve">I0ivision  </t>
    </r>
    <r>
      <rPr>
        <sz val="11"/>
        <rFont val="Times New Roman"/>
        <family val="1"/>
      </rPr>
      <t xml:space="preserve">and </t>
    </r>
    <r>
      <rPr>
        <sz val="11"/>
        <color rgb="FF070707"/>
        <rFont val="Times New Roman"/>
        <family val="1"/>
      </rPr>
      <t>Judicia</t>
    </r>
    <r>
      <rPr>
        <sz val="11"/>
        <color rgb="FF232323"/>
        <rFont val="Times New Roman"/>
        <family val="1"/>
      </rPr>
      <t xml:space="preserve">1 </t>
    </r>
    <r>
      <rPr>
        <sz val="11"/>
        <color rgb="FF0A0A0A"/>
        <rFont val="Times New Roman"/>
        <family val="1"/>
      </rPr>
      <t xml:space="preserve">Magistrate,  First </t>
    </r>
    <r>
      <rPr>
        <sz val="11"/>
        <color rgb="FF0F0F0F"/>
        <rFont val="Times New Roman"/>
        <family val="1"/>
      </rPr>
      <t xml:space="preserve">Class, </t>
    </r>
    <r>
      <rPr>
        <sz val="11"/>
        <color rgb="FF0A0A0A"/>
        <rFont val="Times New Roman"/>
        <family val="1"/>
      </rPr>
      <t xml:space="preserve">Chiplun </t>
    </r>
    <r>
      <rPr>
        <sz val="11"/>
        <rFont val="Times New Roman"/>
        <family val="1"/>
      </rPr>
      <t>415 605</t>
    </r>
  </si>
  <si>
    <r>
      <rPr>
        <sz val="11"/>
        <color rgb="FF0A0A0A"/>
        <rFont val="Times New Roman"/>
        <family val="1"/>
      </rPr>
      <t xml:space="preserve">District Court, Satara (New Court Building)  </t>
    </r>
    <r>
      <rPr>
        <sz val="11"/>
        <color rgb="FF131313"/>
        <rFont val="Times New Roman"/>
        <family val="1"/>
      </rPr>
      <t xml:space="preserve">Satara </t>
    </r>
    <r>
      <rPr>
        <sz val="11"/>
        <color rgb="FF2B2B2B"/>
        <rFont val="Times New Roman"/>
        <family val="1"/>
      </rPr>
      <t xml:space="preserve">- </t>
    </r>
    <r>
      <rPr>
        <sz val="11"/>
        <color rgb="FF0A0A0A"/>
        <rFont val="Times New Roman"/>
        <family val="1"/>
      </rPr>
      <t xml:space="preserve">Koregaon </t>
    </r>
    <r>
      <rPr>
        <sz val="11"/>
        <rFont val="Times New Roman"/>
        <family val="1"/>
      </rPr>
      <t>Road,  S</t>
    </r>
    <r>
      <rPr>
        <sz val="11"/>
        <color rgb="FF0C0C0C"/>
        <rFont val="Times New Roman"/>
        <family val="1"/>
      </rPr>
      <t xml:space="preserve">15 </t>
    </r>
    <r>
      <rPr>
        <sz val="11"/>
        <color rgb="FF050505"/>
        <rFont val="Times New Roman"/>
        <family val="1"/>
      </rPr>
      <t xml:space="preserve">Sadar </t>
    </r>
    <r>
      <rPr>
        <sz val="11"/>
        <rFont val="Times New Roman"/>
        <family val="1"/>
      </rPr>
      <t xml:space="preserve">Bazar, </t>
    </r>
    <r>
      <rPr>
        <sz val="11"/>
        <color rgb="FF0F0F0F"/>
        <rFont val="Times New Roman"/>
        <family val="1"/>
      </rPr>
      <t xml:space="preserve">Camp, </t>
    </r>
    <r>
      <rPr>
        <sz val="11"/>
        <rFont val="Times New Roman"/>
        <family val="1"/>
      </rPr>
      <t xml:space="preserve">Satara  </t>
    </r>
    <r>
      <rPr>
        <sz val="11"/>
        <color rgb="FF131313"/>
        <rFont val="Times New Roman"/>
        <family val="1"/>
      </rPr>
      <t xml:space="preserve">- </t>
    </r>
    <r>
      <rPr>
        <sz val="11"/>
        <color rgb="FF1A1A1A"/>
        <rFont val="Times New Roman"/>
        <family val="1"/>
      </rPr>
      <t>415001</t>
    </r>
  </si>
  <si>
    <r>
      <rPr>
        <sz val="11"/>
        <color rgb="FF0A0A0A"/>
        <rFont val="Times New Roman"/>
        <family val="1"/>
      </rPr>
      <t>Ad</t>
    </r>
    <r>
      <rPr>
        <sz val="11"/>
        <rFont val="Times New Roman"/>
        <family val="1"/>
      </rPr>
      <t>ditioanal  District  and Sessions Co</t>
    </r>
    <r>
      <rPr>
        <sz val="11"/>
        <color rgb="FF0C0C0C"/>
        <rFont val="Times New Roman"/>
        <family val="1"/>
      </rPr>
      <t xml:space="preserve">urt, </t>
    </r>
    <r>
      <rPr>
        <sz val="11"/>
        <rFont val="Times New Roman"/>
        <family val="1"/>
      </rPr>
      <t xml:space="preserve">Karad,Opp.  of Head </t>
    </r>
    <r>
      <rPr>
        <sz val="11"/>
        <color rgb="FF080808"/>
        <rFont val="Times New Roman"/>
        <family val="1"/>
      </rPr>
      <t xml:space="preserve">Post </t>
    </r>
    <r>
      <rPr>
        <sz val="11"/>
        <rFont val="Times New Roman"/>
        <family val="1"/>
      </rPr>
      <t xml:space="preserve">Office, Shaniwar </t>
    </r>
    <r>
      <rPr>
        <sz val="11"/>
        <color rgb="FF131313"/>
        <rFont val="Times New Roman"/>
        <family val="1"/>
      </rPr>
      <t xml:space="preserve">Perh, </t>
    </r>
    <r>
      <rPr>
        <sz val="11"/>
        <rFont val="Times New Roman"/>
        <family val="1"/>
      </rPr>
      <t xml:space="preserve">Karad-415  </t>
    </r>
    <r>
      <rPr>
        <sz val="11"/>
        <color rgb="FF151515"/>
        <rFont val="Times New Roman"/>
        <family val="1"/>
      </rPr>
      <t>110</t>
    </r>
  </si>
  <si>
    <r>
      <rPr>
        <sz val="11"/>
        <rFont val="Times New Roman"/>
        <family val="1"/>
      </rPr>
      <t xml:space="preserve">Civil </t>
    </r>
    <r>
      <rPr>
        <sz val="11"/>
        <color rgb="FF0E0E0E"/>
        <rFont val="Times New Roman"/>
        <family val="1"/>
      </rPr>
      <t xml:space="preserve">a </t>
    </r>
    <r>
      <rPr>
        <sz val="11"/>
        <rFont val="Times New Roman"/>
        <family val="1"/>
      </rPr>
      <t xml:space="preserve">nd Criminal Court  Complex,  Vasco-da- Gama </t>
    </r>
    <r>
      <rPr>
        <sz val="11"/>
        <color rgb="FF363636"/>
        <rFont val="Times New Roman"/>
        <family val="1"/>
      </rPr>
      <t xml:space="preserve">— </t>
    </r>
    <r>
      <rPr>
        <sz val="11"/>
        <rFont val="Times New Roman"/>
        <family val="1"/>
      </rPr>
      <t>403 802</t>
    </r>
  </si>
  <si>
    <r>
      <rPr>
        <sz val="11"/>
        <rFont val="Times New Roman"/>
        <family val="1"/>
      </rPr>
      <t xml:space="preserve">Civil </t>
    </r>
    <r>
      <rPr>
        <sz val="11"/>
        <color rgb="FF262626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Criminal Court  Complex,  </t>
    </r>
    <r>
      <rPr>
        <sz val="11"/>
        <color rgb="FF0A0A0A"/>
        <rFont val="Times New Roman"/>
        <family val="1"/>
      </rPr>
      <t xml:space="preserve">Old </t>
    </r>
    <r>
      <rPr>
        <sz val="11"/>
        <rFont val="Times New Roman"/>
        <family val="1"/>
      </rPr>
      <t xml:space="preserve">Market, Margao,  Goa  </t>
    </r>
    <r>
      <rPr>
        <sz val="11"/>
        <color rgb="FF131313"/>
        <rFont val="Times New Roman"/>
        <family val="1"/>
      </rPr>
      <t xml:space="preserve">- </t>
    </r>
    <r>
      <rPr>
        <sz val="11"/>
        <color rgb="FF0F0F0F"/>
        <rFont val="Times New Roman"/>
        <family val="1"/>
      </rPr>
      <t xml:space="preserve">403 </t>
    </r>
    <r>
      <rPr>
        <sz val="11"/>
        <color rgb="FF0A0A0A"/>
        <rFont val="Times New Roman"/>
        <family val="1"/>
      </rPr>
      <t>601</t>
    </r>
  </si>
  <si>
    <r>
      <rPr>
        <sz val="11"/>
        <rFont val="Times New Roman"/>
        <family val="1"/>
      </rPr>
      <t xml:space="preserve">District  </t>
    </r>
    <r>
      <rPr>
        <sz val="11"/>
        <color rgb="FF1A1A1A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Sessions Court  </t>
    </r>
    <r>
      <rPr>
        <sz val="11"/>
        <color rgb="FF030303"/>
        <rFont val="Times New Roman"/>
        <family val="1"/>
      </rPr>
      <t xml:space="preserve">Complex,  </t>
    </r>
    <r>
      <rPr>
        <sz val="11"/>
        <color rgb="FF050505"/>
        <rFont val="Times New Roman"/>
        <family val="1"/>
      </rPr>
      <t xml:space="preserve">Old </t>
    </r>
    <r>
      <rPr>
        <sz val="11"/>
        <color rgb="FF0A0A0A"/>
        <rFont val="Times New Roman"/>
        <family val="1"/>
      </rPr>
      <t xml:space="preserve">Market, </t>
    </r>
    <r>
      <rPr>
        <sz val="11"/>
        <rFont val="Times New Roman"/>
        <family val="1"/>
      </rPr>
      <t xml:space="preserve">Margao,  </t>
    </r>
    <r>
      <rPr>
        <sz val="11"/>
        <color rgb="FF050505"/>
        <rFont val="Times New Roman"/>
        <family val="1"/>
      </rPr>
      <t xml:space="preserve">Goa </t>
    </r>
    <r>
      <rPr>
        <sz val="11"/>
        <color rgb="FF0F0F0F"/>
        <rFont val="Times New Roman"/>
        <family val="1"/>
      </rPr>
      <t xml:space="preserve">- </t>
    </r>
    <r>
      <rPr>
        <sz val="11"/>
        <rFont val="Times New Roman"/>
        <family val="1"/>
      </rPr>
      <t xml:space="preserve">403 </t>
    </r>
    <r>
      <rPr>
        <sz val="11"/>
        <color rgb="FF0F0F0F"/>
        <rFont val="Times New Roman"/>
        <family val="1"/>
      </rPr>
      <t>601</t>
    </r>
  </si>
  <si>
    <r>
      <rPr>
        <sz val="11"/>
        <rFont val="Times New Roman"/>
        <family val="1"/>
      </rPr>
      <t xml:space="preserve">District  Judge </t>
    </r>
    <r>
      <rPr>
        <sz val="11"/>
        <color rgb="FF1A1A1A"/>
        <rFont val="Times New Roman"/>
        <family val="1"/>
      </rPr>
      <t xml:space="preserve">-1  &amp; </t>
    </r>
    <r>
      <rPr>
        <sz val="11"/>
        <color rgb="FF0C0C0C"/>
        <rFont val="Times New Roman"/>
        <family val="1"/>
      </rPr>
      <t xml:space="preserve">ASJ, </t>
    </r>
    <r>
      <rPr>
        <sz val="11"/>
        <color rgb="FF080808"/>
        <rFont val="Times New Roman"/>
        <family val="1"/>
      </rPr>
      <t xml:space="preserve">Near </t>
    </r>
    <r>
      <rPr>
        <sz val="11"/>
        <rFont val="Times New Roman"/>
        <family val="1"/>
      </rPr>
      <t xml:space="preserve">P.W.D. Rest Housep Malshiras - 413 </t>
    </r>
    <r>
      <rPr>
        <sz val="11"/>
        <color rgb="FF050505"/>
        <rFont val="Times New Roman"/>
        <family val="1"/>
      </rPr>
      <t>107</t>
    </r>
  </si>
  <si>
    <r>
      <rPr>
        <sz val="11"/>
        <color rgb="FF0C0C0C"/>
        <rFont val="Times New Roman"/>
        <family val="1"/>
      </rPr>
      <t xml:space="preserve">Civil </t>
    </r>
    <r>
      <rPr>
        <sz val="11"/>
        <rFont val="Times New Roman"/>
        <family val="1"/>
      </rPr>
      <t xml:space="preserve">Court Junior Division Vengurla </t>
    </r>
    <r>
      <rPr>
        <sz val="11"/>
        <color rgb="FF080808"/>
        <rFont val="Times New Roman"/>
        <family val="1"/>
      </rPr>
      <t xml:space="preserve">Tal </t>
    </r>
    <r>
      <rPr>
        <sz val="11"/>
        <color rgb="FF111111"/>
        <rFont val="Times New Roman"/>
        <family val="1"/>
      </rPr>
      <t xml:space="preserve">- </t>
    </r>
    <r>
      <rPr>
        <sz val="11"/>
        <rFont val="Times New Roman"/>
        <family val="1"/>
      </rPr>
      <t xml:space="preserve">Vengurla,  </t>
    </r>
    <r>
      <rPr>
        <sz val="11"/>
        <color rgb="FF080808"/>
        <rFont val="Times New Roman"/>
        <family val="1"/>
      </rPr>
      <t xml:space="preserve">Dist </t>
    </r>
    <r>
      <rPr>
        <sz val="11"/>
        <color rgb="FF383838"/>
        <rFont val="Times New Roman"/>
        <family val="1"/>
      </rPr>
      <t xml:space="preserve">- </t>
    </r>
    <r>
      <rPr>
        <sz val="11"/>
        <rFont val="Times New Roman"/>
        <family val="1"/>
      </rPr>
      <t xml:space="preserve">Sindhudurg  </t>
    </r>
    <r>
      <rPr>
        <sz val="11"/>
        <color rgb="FF181818"/>
        <rFont val="Times New Roman"/>
        <family val="1"/>
      </rPr>
      <t xml:space="preserve">- </t>
    </r>
    <r>
      <rPr>
        <sz val="11"/>
        <color rgb="FF111111"/>
        <rFont val="Times New Roman"/>
        <family val="1"/>
      </rPr>
      <t>41</t>
    </r>
    <r>
      <rPr>
        <sz val="11"/>
        <color rgb="FF131313"/>
        <rFont val="Times New Roman"/>
        <family val="1"/>
      </rPr>
      <t xml:space="preserve">6 </t>
    </r>
    <r>
      <rPr>
        <sz val="11"/>
        <rFont val="Times New Roman"/>
        <family val="1"/>
      </rPr>
      <t>516</t>
    </r>
  </si>
  <si>
    <r>
      <rPr>
        <sz val="11"/>
        <color rgb="FF0F0F0F"/>
        <rFont val="Times New Roman"/>
        <family val="1"/>
      </rPr>
      <t xml:space="preserve">Judge, </t>
    </r>
    <r>
      <rPr>
        <sz val="11"/>
        <rFont val="Times New Roman"/>
        <family val="1"/>
      </rPr>
      <t xml:space="preserve">Cooperative  </t>
    </r>
    <r>
      <rPr>
        <sz val="11"/>
        <color rgb="FF080808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District  </t>
    </r>
    <r>
      <rPr>
        <sz val="11"/>
        <color rgb="FF1D1D1D"/>
        <rFont val="Times New Roman"/>
        <family val="1"/>
      </rPr>
      <t xml:space="preserve">&amp; </t>
    </r>
    <r>
      <rPr>
        <sz val="11"/>
        <color rgb="FF0C0C0C"/>
        <rFont val="Times New Roman"/>
        <family val="1"/>
      </rPr>
      <t xml:space="preserve">Sessions </t>
    </r>
    <r>
      <rPr>
        <sz val="11"/>
        <rFont val="Times New Roman"/>
        <family val="1"/>
      </rPr>
      <t xml:space="preserve">Court  </t>
    </r>
    <r>
      <rPr>
        <sz val="11"/>
        <color rgb="FF0C0C0C"/>
        <rFont val="Times New Roman"/>
        <family val="1"/>
      </rPr>
      <t xml:space="preserve">Compound, </t>
    </r>
    <r>
      <rPr>
        <sz val="11"/>
        <rFont val="Times New Roman"/>
        <family val="1"/>
      </rPr>
      <t xml:space="preserve">Court Naka, </t>
    </r>
    <r>
      <rPr>
        <sz val="11"/>
        <color rgb="FF0F0F0F"/>
        <rFont val="Times New Roman"/>
        <family val="1"/>
      </rPr>
      <t xml:space="preserve">Thane </t>
    </r>
    <r>
      <rPr>
        <sz val="11"/>
        <color rgb="FF262626"/>
        <rFont val="Times New Roman"/>
        <family val="1"/>
      </rPr>
      <t xml:space="preserve">- </t>
    </r>
    <r>
      <rPr>
        <sz val="11"/>
        <rFont val="Times New Roman"/>
        <family val="1"/>
      </rPr>
      <t xml:space="preserve">400 601               </t>
    </r>
  </si>
  <si>
    <r>
      <rPr>
        <sz val="11"/>
        <rFont val="Times New Roman"/>
        <family val="1"/>
      </rPr>
      <t xml:space="preserve">District  </t>
    </r>
    <r>
      <rPr>
        <sz val="11"/>
        <color rgb="FF1A1A1A"/>
        <rFont val="Times New Roman"/>
        <family val="1"/>
      </rPr>
      <t xml:space="preserve">&amp;  </t>
    </r>
    <r>
      <rPr>
        <sz val="11"/>
        <rFont val="Times New Roman"/>
        <family val="1"/>
      </rPr>
      <t xml:space="preserve">Sessions </t>
    </r>
    <r>
      <rPr>
        <sz val="11"/>
        <color rgb="FF080808"/>
        <rFont val="Times New Roman"/>
        <family val="1"/>
      </rPr>
      <t xml:space="preserve">Courr,  </t>
    </r>
    <r>
      <rPr>
        <sz val="11"/>
        <color rgb="FF111111"/>
        <rFont val="Times New Roman"/>
        <family val="1"/>
      </rPr>
      <t xml:space="preserve">New </t>
    </r>
    <r>
      <rPr>
        <sz val="11"/>
        <rFont val="Times New Roman"/>
        <family val="1"/>
      </rPr>
      <t xml:space="preserve">Building,  </t>
    </r>
    <r>
      <rPr>
        <sz val="11"/>
        <color rgb="FF0C0C0C"/>
        <rFont val="Times New Roman"/>
        <family val="1"/>
      </rPr>
      <t xml:space="preserve">Civil </t>
    </r>
    <r>
      <rPr>
        <sz val="11"/>
        <color rgb="FF0A0A0A"/>
        <rFont val="Times New Roman"/>
        <family val="1"/>
      </rPr>
      <t xml:space="preserve">Lines,  </t>
    </r>
    <r>
      <rPr>
        <sz val="11"/>
        <color rgb="FF0C0C0C"/>
        <rFont val="Times New Roman"/>
        <family val="1"/>
      </rPr>
      <t xml:space="preserve">Wardha </t>
    </r>
    <r>
      <rPr>
        <sz val="11"/>
        <color rgb="FF232323"/>
        <rFont val="Times New Roman"/>
        <family val="1"/>
      </rPr>
      <t xml:space="preserve">- </t>
    </r>
    <r>
      <rPr>
        <sz val="11"/>
        <rFont val="Times New Roman"/>
        <family val="1"/>
      </rPr>
      <t xml:space="preserve">442 </t>
    </r>
    <r>
      <rPr>
        <sz val="11"/>
        <color rgb="FF050505"/>
        <rFont val="Times New Roman"/>
        <family val="1"/>
      </rPr>
      <t>001</t>
    </r>
  </si>
  <si>
    <r>
      <rPr>
        <sz val="11"/>
        <rFont val="Times New Roman"/>
        <family val="1"/>
      </rPr>
      <t xml:space="preserve">Court  of District  Judge-1  </t>
    </r>
    <r>
      <rPr>
        <sz val="11"/>
        <color rgb="FF0A0A0A"/>
        <rFont val="Times New Roman"/>
        <family val="1"/>
      </rPr>
      <t xml:space="preserve">and </t>
    </r>
    <r>
      <rPr>
        <sz val="11"/>
        <rFont val="Times New Roman"/>
        <family val="1"/>
      </rPr>
      <t xml:space="preserve">Additional </t>
    </r>
    <r>
      <rPr>
        <sz val="11"/>
        <color rgb="FF070707"/>
        <rFont val="Times New Roman"/>
        <family val="1"/>
      </rPr>
      <t xml:space="preserve">Sessions </t>
    </r>
    <r>
      <rPr>
        <sz val="11"/>
        <rFont val="Times New Roman"/>
        <family val="1"/>
      </rPr>
      <t>Judge,  Railway Station  Road, Hinganghat-442 301</t>
    </r>
  </si>
  <si>
    <r>
      <rPr>
        <sz val="11"/>
        <color rgb="FF080808"/>
        <rFont val="Times New Roman"/>
        <family val="1"/>
      </rPr>
      <t xml:space="preserve">Court </t>
    </r>
    <r>
      <rPr>
        <sz val="11"/>
        <color rgb="FF1A1A1A"/>
        <rFont val="Times New Roman"/>
        <family val="1"/>
      </rPr>
      <t xml:space="preserve">of </t>
    </r>
    <r>
      <rPr>
        <sz val="11"/>
        <color rgb="FF0F0F0F"/>
        <rFont val="Times New Roman"/>
        <family val="1"/>
      </rPr>
      <t xml:space="preserve">Civil </t>
    </r>
    <r>
      <rPr>
        <sz val="11"/>
        <rFont val="Times New Roman"/>
        <family val="1"/>
      </rPr>
      <t xml:space="preserve">Judge, </t>
    </r>
    <r>
      <rPr>
        <sz val="11"/>
        <color rgb="FF0C0C0C"/>
        <rFont val="Times New Roman"/>
        <family val="1"/>
      </rPr>
      <t xml:space="preserve">Junior </t>
    </r>
    <r>
      <rPr>
        <sz val="11"/>
        <rFont val="Times New Roman"/>
        <family val="1"/>
      </rPr>
      <t xml:space="preserve">Division  and </t>
    </r>
    <r>
      <rPr>
        <sz val="11"/>
        <color rgb="FF111111"/>
        <rFont val="Times New Roman"/>
        <family val="1"/>
      </rPr>
      <t xml:space="preserve">judicial </t>
    </r>
    <r>
      <rPr>
        <sz val="11"/>
        <rFont val="Times New Roman"/>
        <family val="1"/>
      </rPr>
      <t xml:space="preserve">Magistrate,  </t>
    </r>
    <r>
      <rPr>
        <sz val="11"/>
        <color rgb="FF0A0A0A"/>
        <rFont val="Times New Roman"/>
        <family val="1"/>
      </rPr>
      <t xml:space="preserve">First </t>
    </r>
    <r>
      <rPr>
        <sz val="11"/>
        <rFont val="Times New Roman"/>
        <family val="1"/>
      </rPr>
      <t xml:space="preserve">Class, Railway Station </t>
    </r>
    <r>
      <rPr>
        <sz val="11"/>
        <color rgb="FF080808"/>
        <rFont val="Times New Roman"/>
        <family val="1"/>
      </rPr>
      <t>Road, H</t>
    </r>
    <r>
      <rPr>
        <sz val="11"/>
        <rFont val="Times New Roman"/>
        <family val="1"/>
      </rPr>
      <t>inganghat-442 301</t>
    </r>
  </si>
  <si>
    <r>
      <rPr>
        <sz val="11"/>
        <color rgb="FF0F0F0F"/>
        <rFont val="Times New Roman"/>
        <family val="1"/>
      </rPr>
      <t xml:space="preserve">Civil </t>
    </r>
    <r>
      <rPr>
        <sz val="11"/>
        <color rgb="FF0C0C0C"/>
        <rFont val="Times New Roman"/>
        <family val="1"/>
      </rPr>
      <t xml:space="preserve">and </t>
    </r>
    <r>
      <rPr>
        <sz val="11"/>
        <color rgb="FF0F0F0F"/>
        <rFont val="Times New Roman"/>
        <family val="1"/>
      </rPr>
      <t xml:space="preserve">Criminal </t>
    </r>
    <r>
      <rPr>
        <sz val="11"/>
        <color rgb="FF111111"/>
        <rFont val="Times New Roman"/>
        <family val="1"/>
      </rPr>
      <t xml:space="preserve">Court, </t>
    </r>
    <r>
      <rPr>
        <sz val="11"/>
        <color rgb="FF161616"/>
        <rFont val="Times New Roman"/>
        <family val="1"/>
      </rPr>
      <t xml:space="preserve">Near </t>
    </r>
    <r>
      <rPr>
        <sz val="11"/>
        <rFont val="Times New Roman"/>
        <family val="1"/>
      </rPr>
      <t>Panchayat,</t>
    </r>
    <r>
      <rPr>
        <sz val="11"/>
        <color rgb="FF0C0C0C"/>
        <rFont val="Times New Roman"/>
        <family val="1"/>
      </rPr>
      <t>Samici,  </t>
    </r>
    <r>
      <rPr>
        <sz val="11"/>
        <color rgb="FF0E0E0E"/>
        <rFont val="Times New Roman"/>
        <family val="1"/>
      </rPr>
      <t>Mangrulpir  </t>
    </r>
    <r>
      <rPr>
        <sz val="11"/>
        <color rgb="FF232323"/>
        <rFont val="Times New Roman"/>
        <family val="1"/>
      </rPr>
      <t>- </t>
    </r>
    <r>
      <rPr>
        <sz val="11"/>
        <color rgb="FF181818"/>
        <rFont val="Times New Roman"/>
        <family val="1"/>
      </rPr>
      <t>444 </t>
    </r>
    <r>
      <rPr>
        <sz val="11"/>
        <color rgb="FF0E0E0E"/>
        <rFont val="Times New Roman"/>
        <family val="1"/>
      </rPr>
      <t>403         </t>
    </r>
  </si>
  <si>
    <r>
      <rPr>
        <sz val="11"/>
        <rFont val="Times New Roman"/>
        <family val="1"/>
      </rPr>
      <t xml:space="preserve">Court of </t>
    </r>
    <r>
      <rPr>
        <sz val="11"/>
        <color rgb="FF0E0E0E"/>
        <rFont val="Times New Roman"/>
        <family val="1"/>
      </rPr>
      <t xml:space="preserve">Civil </t>
    </r>
    <r>
      <rPr>
        <sz val="11"/>
        <color rgb="FF080808"/>
        <rFont val="Times New Roman"/>
        <family val="1"/>
      </rPr>
      <t xml:space="preserve">Judge, </t>
    </r>
    <r>
      <rPr>
        <sz val="11"/>
        <rFont val="Times New Roman"/>
        <family val="1"/>
      </rPr>
      <t xml:space="preserve">Junior Division  </t>
    </r>
    <r>
      <rPr>
        <sz val="11"/>
        <color rgb="FF282828"/>
        <rFont val="Times New Roman"/>
        <family val="1"/>
      </rPr>
      <t xml:space="preserve">&amp;
</t>
    </r>
    <r>
      <rPr>
        <sz val="11"/>
        <rFont val="Times New Roman"/>
        <family val="1"/>
      </rPr>
      <t xml:space="preserve">Judicial Magistrate, first Class, </t>
    </r>
    <r>
      <rPr>
        <sz val="11"/>
        <color rgb="FF0A0A0A"/>
        <rFont val="Times New Roman"/>
        <family val="1"/>
      </rPr>
      <t xml:space="preserve">Near </t>
    </r>
    <r>
      <rPr>
        <sz val="11"/>
        <rFont val="Times New Roman"/>
        <family val="1"/>
      </rPr>
      <t xml:space="preserve">Sinchan Bhawan,  Ambajogai Road, </t>
    </r>
    <r>
      <rPr>
        <sz val="11"/>
        <color rgb="FF0A0A0A"/>
        <rFont val="Times New Roman"/>
        <family val="1"/>
      </rPr>
      <t xml:space="preserve">Parli </t>
    </r>
    <r>
      <rPr>
        <sz val="11"/>
        <color rgb="FF080808"/>
        <rFont val="Times New Roman"/>
        <family val="1"/>
      </rPr>
      <t xml:space="preserve">- </t>
    </r>
    <r>
      <rPr>
        <sz val="11"/>
        <rFont val="Times New Roman"/>
        <family val="1"/>
      </rPr>
      <t xml:space="preserve">Vaijnad - 431515 </t>
    </r>
  </si>
  <si>
    <r>
      <rPr>
        <sz val="11"/>
        <color rgb="FF0F0F0F"/>
        <rFont val="Times New Roman"/>
        <family val="1"/>
      </rPr>
      <t xml:space="preserve">Court  </t>
    </r>
    <r>
      <rPr>
        <sz val="11"/>
        <color rgb="FF111111"/>
        <rFont val="Times New Roman"/>
        <family val="1"/>
      </rPr>
      <t xml:space="preserve">of </t>
    </r>
    <r>
      <rPr>
        <sz val="11"/>
        <rFont val="Times New Roman"/>
        <family val="1"/>
      </rPr>
      <t xml:space="preserve">Civil Judge, Junior Division  </t>
    </r>
    <r>
      <rPr>
        <sz val="11"/>
        <color rgb="FF0F0F0F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Judicial Magistrate, First  Class, Aurangabad Road,  Georai </t>
    </r>
    <r>
      <rPr>
        <sz val="11"/>
        <color rgb="FF0C0C0C"/>
        <rFont val="Times New Roman"/>
        <family val="1"/>
      </rPr>
      <t xml:space="preserve">- </t>
    </r>
    <r>
      <rPr>
        <sz val="11"/>
        <color rgb="FF0F0F0F"/>
        <rFont val="Times New Roman"/>
        <family val="1"/>
      </rPr>
      <t>431127</t>
    </r>
  </si>
  <si>
    <t xml:space="preserve"> </t>
  </si>
  <si>
    <t>SITE NOT READY CERTIFICATE</t>
  </si>
  <si>
    <r>
      <rPr>
        <sz val="11"/>
        <rFont val="Times New Roman"/>
        <family val="1"/>
      </rPr>
      <t xml:space="preserve">District </t>
    </r>
    <r>
      <rPr>
        <sz val="11"/>
        <color rgb="FF070707"/>
        <rFont val="Times New Roman"/>
        <family val="1"/>
      </rPr>
      <t xml:space="preserve">Judge </t>
    </r>
    <r>
      <rPr>
        <sz val="11"/>
        <color rgb="FF2B2B2B"/>
        <rFont val="Times New Roman"/>
        <family val="1"/>
      </rPr>
      <t xml:space="preserve">-1  </t>
    </r>
    <r>
      <rPr>
        <sz val="11"/>
        <color rgb="FF0E0E0E"/>
        <rFont val="Times New Roman"/>
        <family val="1"/>
      </rPr>
      <t xml:space="preserve">&amp; </t>
    </r>
    <r>
      <rPr>
        <sz val="11"/>
        <color rgb="FF111111"/>
        <rFont val="Times New Roman"/>
        <family val="1"/>
      </rPr>
      <t xml:space="preserve">ASJ, </t>
    </r>
    <r>
      <rPr>
        <sz val="11"/>
        <color rgb="FF0A0A0A"/>
        <rFont val="Times New Roman"/>
        <family val="1"/>
      </rPr>
      <t xml:space="preserve">Shivaji </t>
    </r>
    <r>
      <rPr>
        <sz val="11"/>
        <rFont val="Times New Roman"/>
        <family val="1"/>
      </rPr>
      <t xml:space="preserve">Chowk,  Beed </t>
    </r>
    <r>
      <rPr>
        <sz val="11"/>
        <color rgb="FF181818"/>
        <rFont val="Times New Roman"/>
        <family val="1"/>
      </rPr>
      <t xml:space="preserve">Road, </t>
    </r>
    <r>
      <rPr>
        <sz val="11"/>
        <rFont val="Times New Roman"/>
        <family val="1"/>
      </rPr>
      <t xml:space="preserve">Ambajogai - </t>
    </r>
    <r>
      <rPr>
        <sz val="11"/>
        <color rgb="FF0F0F0F"/>
        <rFont val="Times New Roman"/>
        <family val="1"/>
      </rPr>
      <t xml:space="preserve">431  </t>
    </r>
    <r>
      <rPr>
        <sz val="11"/>
        <color rgb="FF080808"/>
        <rFont val="Times New Roman"/>
        <family val="1"/>
      </rPr>
      <t>517</t>
    </r>
  </si>
  <si>
    <r>
      <t xml:space="preserve">Judge, Family Court, Government Residential </t>
    </r>
    <r>
      <rPr>
        <sz val="11"/>
        <color rgb="FF080808"/>
        <rFont val="Times New Roman"/>
        <family val="1"/>
      </rPr>
      <t xml:space="preserve">Quarter </t>
    </r>
    <r>
      <rPr>
        <sz val="11"/>
        <rFont val="Times New Roman"/>
        <family val="1"/>
      </rPr>
      <t xml:space="preserve">A-12 </t>
    </r>
    <r>
      <rPr>
        <sz val="11"/>
        <color rgb="FF080808"/>
        <rFont val="Times New Roman"/>
        <family val="1"/>
      </rPr>
      <t xml:space="preserve">to </t>
    </r>
    <r>
      <rPr>
        <sz val="11"/>
        <rFont val="Times New Roman"/>
        <family val="1"/>
      </rPr>
      <t xml:space="preserve">A-15, Near Rajgoplachari  </t>
    </r>
    <r>
      <rPr>
        <sz val="11"/>
        <color rgb="FF0A0A0A"/>
        <rFont val="Times New Roman"/>
        <family val="1"/>
      </rPr>
      <t xml:space="preserve">Garden,  </t>
    </r>
    <r>
      <rPr>
        <sz val="11"/>
        <rFont val="Times New Roman"/>
        <family val="1"/>
      </rPr>
      <t xml:space="preserve">Shivaji Nagar, Basmath </t>
    </r>
    <r>
      <rPr>
        <sz val="11"/>
        <color rgb="FF050505"/>
        <rFont val="Times New Roman"/>
        <family val="1"/>
      </rPr>
      <t xml:space="preserve">Road, </t>
    </r>
    <r>
      <rPr>
        <sz val="11"/>
        <rFont val="Times New Roman"/>
        <family val="1"/>
      </rPr>
      <t xml:space="preserve">Parbhani  </t>
    </r>
    <r>
      <rPr>
        <sz val="11"/>
        <color rgb="FF111111"/>
        <rFont val="Times New Roman"/>
        <family val="1"/>
      </rPr>
      <t xml:space="preserve">Tal. </t>
    </r>
    <r>
      <rPr>
        <sz val="11"/>
        <color rgb="FF0F0F0F"/>
        <rFont val="Times New Roman"/>
        <family val="1"/>
      </rPr>
      <t xml:space="preserve">And </t>
    </r>
    <r>
      <rPr>
        <sz val="11"/>
        <rFont val="Times New Roman"/>
        <family val="1"/>
      </rPr>
      <t>Dist. Parbhani - 431401</t>
    </r>
  </si>
  <si>
    <r>
      <rPr>
        <sz val="11"/>
        <color rgb="FF070707"/>
        <rFont val="Times New Roman"/>
        <family val="1"/>
      </rPr>
      <t xml:space="preserve">Civil </t>
    </r>
    <r>
      <rPr>
        <sz val="11"/>
        <color rgb="FF0E0E0E"/>
        <rFont val="Times New Roman"/>
        <family val="1"/>
      </rPr>
      <t xml:space="preserve">&amp; </t>
    </r>
    <r>
      <rPr>
        <sz val="11"/>
        <rFont val="Times New Roman"/>
        <family val="1"/>
      </rPr>
      <t xml:space="preserve">Criminal </t>
    </r>
    <r>
      <rPr>
        <sz val="11"/>
        <color rgb="FF080808"/>
        <rFont val="Times New Roman"/>
        <family val="1"/>
      </rPr>
      <t xml:space="preserve">Court, </t>
    </r>
    <r>
      <rPr>
        <sz val="11"/>
        <rFont val="Times New Roman"/>
        <family val="1"/>
      </rPr>
      <t xml:space="preserve">Chandur bazar </t>
    </r>
    <r>
      <rPr>
        <sz val="11"/>
        <color rgb="FF262626"/>
        <rFont val="Times New Roman"/>
        <family val="1"/>
      </rPr>
      <t xml:space="preserve">- </t>
    </r>
    <r>
      <rPr>
        <sz val="11"/>
        <color rgb="FF0C0C0C"/>
        <rFont val="Times New Roman"/>
        <family val="1"/>
      </rPr>
      <t xml:space="preserve">444 </t>
    </r>
    <r>
      <rPr>
        <sz val="11"/>
        <rFont val="Times New Roman"/>
        <family val="1"/>
      </rPr>
      <t>704</t>
    </r>
  </si>
  <si>
    <r>
      <rPr>
        <sz val="11"/>
        <color rgb="FF1A1A1A"/>
        <rFont val="Times New Roman"/>
        <family val="1"/>
      </rPr>
      <t xml:space="preserve">Civil Court, Junior Division, Near Tahsil Office, </t>
    </r>
    <r>
      <rPr>
        <sz val="11"/>
        <color rgb="FF282828"/>
        <rFont val="Times New Roman"/>
        <family val="1"/>
      </rPr>
      <t>M</t>
    </r>
    <r>
      <rPr>
        <sz val="11"/>
        <color rgb="FF181818"/>
        <rFont val="Times New Roman"/>
        <family val="1"/>
      </rPr>
      <t xml:space="preserve">ahagaon  </t>
    </r>
    <r>
      <rPr>
        <sz val="11"/>
        <color rgb="FF232323"/>
        <rFont val="Times New Roman"/>
        <family val="1"/>
      </rPr>
      <t xml:space="preserve">Road,  </t>
    </r>
    <r>
      <rPr>
        <sz val="11"/>
        <color rgb="FF0F0F0F"/>
        <rFont val="Times New Roman"/>
        <family val="1"/>
      </rPr>
      <t xml:space="preserve">Umarkhed  </t>
    </r>
    <r>
      <rPr>
        <sz val="11"/>
        <color rgb="FF2F2F2F"/>
        <rFont val="Times New Roman"/>
        <family val="1"/>
      </rPr>
      <t xml:space="preserve">- </t>
    </r>
    <r>
      <rPr>
        <sz val="11"/>
        <color rgb="FF0E0E0E"/>
        <rFont val="Times New Roman"/>
        <family val="1"/>
      </rPr>
      <t>445206</t>
    </r>
  </si>
  <si>
    <r>
      <rPr>
        <sz val="11"/>
        <color rgb="FF0C0C0C"/>
        <rFont val="Times New Roman"/>
        <family val="1"/>
      </rPr>
      <t xml:space="preserve">Civil </t>
    </r>
    <r>
      <rPr>
        <sz val="11"/>
        <color rgb="FF080808"/>
        <rFont val="Times New Roman"/>
        <family val="1"/>
      </rPr>
      <t xml:space="preserve">and </t>
    </r>
    <r>
      <rPr>
        <sz val="11"/>
        <color rgb="FF111111"/>
        <rFont val="Times New Roman"/>
        <family val="1"/>
      </rPr>
      <t xml:space="preserve">Criminal </t>
    </r>
    <r>
      <rPr>
        <sz val="11"/>
        <rFont val="Times New Roman"/>
        <family val="1"/>
      </rPr>
      <t xml:space="preserve">Court, </t>
    </r>
    <r>
      <rPr>
        <sz val="11"/>
        <color rgb="FF0F0F0F"/>
        <rFont val="Times New Roman"/>
        <family val="1"/>
      </rPr>
      <t xml:space="preserve">Junior </t>
    </r>
    <r>
      <rPr>
        <sz val="11"/>
        <rFont val="Times New Roman"/>
        <family val="1"/>
      </rPr>
      <t xml:space="preserve">Division, </t>
    </r>
    <r>
      <rPr>
        <sz val="11"/>
        <color rgb="FF0A0A0A"/>
        <rFont val="Times New Roman"/>
        <family val="1"/>
      </rPr>
      <t xml:space="preserve">Mahagaon,  </t>
    </r>
    <r>
      <rPr>
        <sz val="11"/>
        <color rgb="FF1D1D1D"/>
        <rFont val="Times New Roman"/>
        <family val="1"/>
      </rPr>
      <t xml:space="preserve">Near </t>
    </r>
    <r>
      <rPr>
        <sz val="11"/>
        <color rgb="FF0C0C0C"/>
        <rFont val="Times New Roman"/>
        <family val="1"/>
      </rPr>
      <t xml:space="preserve">Water </t>
    </r>
    <r>
      <rPr>
        <sz val="11"/>
        <color rgb="FF131313"/>
        <rFont val="Times New Roman"/>
        <family val="1"/>
      </rPr>
      <t xml:space="preserve">Tank, </t>
    </r>
    <r>
      <rPr>
        <sz val="11"/>
        <color rgb="FF2B2B2B"/>
        <rFont val="Times New Roman"/>
        <family val="1"/>
      </rPr>
      <t>M</t>
    </r>
    <r>
      <rPr>
        <sz val="11"/>
        <color rgb="FF0E0E0E"/>
        <rFont val="Times New Roman"/>
        <family val="1"/>
      </rPr>
      <t xml:space="preserve">ahagaon </t>
    </r>
    <r>
      <rPr>
        <sz val="11"/>
        <rFont val="Times New Roman"/>
        <family val="1"/>
      </rPr>
      <t xml:space="preserve">-
</t>
    </r>
    <r>
      <rPr>
        <sz val="11"/>
        <color rgb="FF1A1A1A"/>
        <rFont val="Times New Roman"/>
        <family val="1"/>
      </rPr>
      <t>445205</t>
    </r>
  </si>
  <si>
    <r>
      <rPr>
        <sz val="11"/>
        <rFont val="Times New Roman"/>
        <family val="1"/>
      </rPr>
      <t xml:space="preserve">Court </t>
    </r>
    <r>
      <rPr>
        <sz val="11"/>
        <color rgb="FF0A0A0A"/>
        <rFont val="Times New Roman"/>
        <family val="1"/>
      </rPr>
      <t xml:space="preserve">of Juvenile  </t>
    </r>
    <r>
      <rPr>
        <sz val="11"/>
        <rFont val="Times New Roman"/>
        <family val="1"/>
      </rPr>
      <t xml:space="preserve">Justice Board, Indora Chowk, </t>
    </r>
    <r>
      <rPr>
        <sz val="11"/>
        <color rgb="FF0F0F0F"/>
        <rFont val="Times New Roman"/>
        <family val="1"/>
      </rPr>
      <t xml:space="preserve">N-12, </t>
    </r>
    <r>
      <rPr>
        <sz val="11"/>
        <color rgb="FF151515"/>
        <rFont val="Times New Roman"/>
        <family val="1"/>
      </rPr>
      <t>H</t>
    </r>
    <r>
      <rPr>
        <sz val="11"/>
        <color rgb="FF050505"/>
        <rFont val="Times New Roman"/>
        <family val="1"/>
      </rPr>
      <t xml:space="preserve">udco </t>
    </r>
    <r>
      <rPr>
        <sz val="11"/>
        <rFont val="Times New Roman"/>
        <family val="1"/>
      </rPr>
      <t xml:space="preserve">Corner,  backside  of Taj Hotel, Aurangabad </t>
    </r>
    <r>
      <rPr>
        <sz val="11"/>
        <color rgb="FF232323"/>
        <rFont val="Times New Roman"/>
        <family val="1"/>
      </rPr>
      <t xml:space="preserve">- </t>
    </r>
    <r>
      <rPr>
        <sz val="11"/>
        <rFont val="Times New Roman"/>
        <family val="1"/>
      </rPr>
      <t>431 003</t>
    </r>
  </si>
  <si>
    <r>
      <rPr>
        <sz val="11"/>
        <rFont val="Times New Roman"/>
        <family val="1"/>
      </rPr>
      <t>District a</t>
    </r>
    <r>
      <rPr>
        <sz val="11"/>
        <color rgb="FF111111"/>
        <rFont val="Times New Roman"/>
        <family val="1"/>
      </rPr>
      <t xml:space="preserve">nd </t>
    </r>
    <r>
      <rPr>
        <sz val="11"/>
        <color rgb="FF0A0A0A"/>
        <rFont val="Times New Roman"/>
        <family val="1"/>
      </rPr>
      <t xml:space="preserve">Sessions </t>
    </r>
    <r>
      <rPr>
        <sz val="11"/>
        <rFont val="Times New Roman"/>
        <family val="1"/>
      </rPr>
      <t xml:space="preserve">Court, Nagar Road,Beed </t>
    </r>
    <r>
      <rPr>
        <sz val="11"/>
        <color rgb="FF1F1F1F"/>
        <rFont val="Times New Roman"/>
        <family val="1"/>
      </rPr>
      <t xml:space="preserve">-   </t>
    </r>
    <r>
      <rPr>
        <sz val="11"/>
        <rFont val="Times New Roman"/>
        <family val="1"/>
      </rPr>
      <t>431122</t>
    </r>
  </si>
  <si>
    <r>
      <rPr>
        <sz val="11"/>
        <rFont val="Times New Roman"/>
        <family val="1"/>
      </rPr>
      <t xml:space="preserve">District </t>
    </r>
    <r>
      <rPr>
        <sz val="11"/>
        <color rgb="FF0C0C0C"/>
        <rFont val="Times New Roman"/>
        <family val="1"/>
      </rPr>
      <t xml:space="preserve">and </t>
    </r>
    <r>
      <rPr>
        <sz val="11"/>
        <rFont val="Times New Roman"/>
        <family val="1"/>
      </rPr>
      <t>Sessions Court, Sindhudurg  at Oros, Tal. K</t>
    </r>
    <r>
      <rPr>
        <sz val="11"/>
        <color rgb="FF080808"/>
        <rFont val="Times New Roman"/>
        <family val="1"/>
      </rPr>
      <t xml:space="preserve">udal,  </t>
    </r>
    <r>
      <rPr>
        <sz val="11"/>
        <rFont val="Times New Roman"/>
        <family val="1"/>
      </rPr>
      <t>Dist. Sindhudurg, Pin 416</t>
    </r>
    <r>
      <rPr>
        <sz val="11"/>
        <color rgb="FF131313"/>
        <rFont val="Times New Roman"/>
        <family val="1"/>
      </rPr>
      <t>812</t>
    </r>
  </si>
  <si>
    <t>To,</t>
  </si>
  <si>
    <t>The Registrar Genral,</t>
  </si>
  <si>
    <t>High Court, Bombay.</t>
  </si>
  <si>
    <t>Respected Sir,</t>
  </si>
  <si>
    <t>Sr.No.</t>
  </si>
  <si>
    <t>Qty</t>
  </si>
  <si>
    <t>Item Description</t>
  </si>
  <si>
    <t>Rate</t>
  </si>
  <si>
    <t>Unit</t>
  </si>
  <si>
    <t>Amount</t>
  </si>
  <si>
    <t>8 port 10/ 100/ 1000 mbps                                                      D-Link  DGS-1210-10</t>
  </si>
  <si>
    <t>No</t>
  </si>
  <si>
    <t xml:space="preserve">24 port 10/ 100/1000 Mbps                                                       D-Link  DGS-3130-30TS </t>
  </si>
  <si>
    <t>CAT6E cable                                                                        Dlink NCB-C6UGRYR-305</t>
  </si>
  <si>
    <t>Mtr</t>
  </si>
  <si>
    <t xml:space="preserve">24 port patch panel                                                          Dlink-NPPC61BLK241 </t>
  </si>
  <si>
    <t>Information outlets and termination of CAT6/ CAT6E cable on I/O                                                                                      D-Link  NKJ-C6WHI1B21</t>
  </si>
  <si>
    <t>5 feet patch cord                                                                  D-Link NCB-C6UGRYR1-2</t>
  </si>
  <si>
    <t>10  feet patch cord                                                                   D-Link NCB-C6UGRYR1-3</t>
  </si>
  <si>
    <t>Wall Mount Rack 6 U with accessories                                                          D-Link NWR-6U-5550-GR</t>
  </si>
  <si>
    <t>Total</t>
  </si>
  <si>
    <t>Thanking You!</t>
  </si>
  <si>
    <t>Yours Faithfully</t>
  </si>
  <si>
    <t>J. D. Enterprises</t>
  </si>
  <si>
    <t>Sub: BOQ for Supply, Testing, Installation and Maintenance of LAN at the District and Taluka Courts in the State of Maharashtra.</t>
  </si>
  <si>
    <t>JD/022/2024-25</t>
  </si>
  <si>
    <t>Sr. No</t>
  </si>
  <si>
    <t>Name of the Judicial District</t>
  </si>
  <si>
    <t>Name of Court Complex</t>
  </si>
  <si>
    <r>
      <rPr>
        <b/>
        <sz val="12"/>
        <rFont val="Times New Roman"/>
        <family val="1"/>
      </rPr>
      <t>ICT Newly Setup Courts
after Dec. 2019</t>
    </r>
  </si>
  <si>
    <r>
      <rPr>
        <b/>
        <sz val="12"/>
        <rFont val="Times New Roman"/>
        <family val="1"/>
      </rPr>
      <t>Lan Nodes to be provided</t>
    </r>
  </si>
  <si>
    <t>Ahmednagar</t>
  </si>
  <si>
    <t>District Judge - 1 &amp; ASJ, Court Complex, Kopergaon - 413 601</t>
  </si>
  <si>
    <t>District Judge - 1 &amp; ASJ, Shrirampur - 413 709</t>
  </si>
  <si>
    <t>District Judge – 1 &amp; ASJ, Civil Judge Senior Division and Civil Judge, Junior Division &amp; Judicial Magistrate, First Class, New Court
Building, Newasa - 414 603</t>
  </si>
  <si>
    <t>District Judge - 1 &amp; ASJ and Court of CJJD &amp; JMFC, New Court Building, Ghulewadi, Nashik Road, Sangamner Tal. Sangamner,
Dist. Ahmednagar - 422 605</t>
  </si>
  <si>
    <t>Court of Civil Judge, Junior Division &amp; Judicial Magistrate, First Class,New Court Building, Near Arole Wasti, Karmala Road,
Jamkhed - 413 201</t>
  </si>
  <si>
    <t>Court of Civil Judge, Junior Division &amp; Judicial Magistrate, First Class, New Court
Building, Rashin Road, Karjat - 414 402</t>
  </si>
  <si>
    <t>Court of Civil Judge, Junior Division &amp;
Judicial Magistrate, First Class, Pathardi - 414 102</t>
  </si>
  <si>
    <t>Court of Civil Judge, Junior Division &amp;
Judicial Magistrate, First Class, Rahata - 423 107</t>
  </si>
  <si>
    <t>Court of Civil Judge, Junior Division &amp; Judicial Magistrate, First Class, Rahuri - 413 705</t>
  </si>
  <si>
    <t>Court of Civil Judge, Junior Division &amp; Judicial Magistrate, First Class, Shevgaon - 414 502</t>
  </si>
  <si>
    <t>Court of Civil Judge, Junior Division &amp; Judicial Magistrate, First Class, Shrigonda - 413 701</t>
  </si>
  <si>
    <t>Akola</t>
  </si>
  <si>
    <t>Civil and Criminal Court Near Tahshil Office Magrulpir Road, Barshitakli-444 401</t>
  </si>
  <si>
    <t xml:space="preserve">     </t>
  </si>
  <si>
    <t>Civil and Criminal Court, Washim Road,
Patur - 444 501</t>
  </si>
  <si>
    <t xml:space="preserve">  </t>
  </si>
  <si>
    <t>Amravati</t>
  </si>
  <si>
    <t>District &amp; Sessions Court, Camp, Amravati - 444 602</t>
  </si>
  <si>
    <t>Civil &amp; Criminal Court, Chandur Bazar - 444 704</t>
  </si>
  <si>
    <t>Civil &amp; Criminal Court, Dharni - 444 702</t>
  </si>
  <si>
    <t>Civil &amp; Criminal Court, Nandgaon
Khandeshwar - 444 708</t>
  </si>
  <si>
    <t>Industrial &amp; Labour Court, Old District Court Building Premises, Opposite Collector Office,
Camp area, Amravati - 444 602</t>
  </si>
  <si>
    <t>Family Court, Old District Court, Building,
Opp Collector Office, Camp Amravati - 444 602</t>
  </si>
  <si>
    <t>Court of Civil Judge, Junior Division &amp;
Judicial Magistrate, First Class, Gangapur - 431 109</t>
  </si>
  <si>
    <t>Court of Civil Judge, Junior Division &amp; Judicial Magistrate, First Class, Sillod - 431 112</t>
  </si>
  <si>
    <t>Court of Juvenile Justice Board, Indora Chowk, N-12, Hudco Corner, Backside of Taj
Hotel, Aurangabad - 431 003</t>
  </si>
  <si>
    <t>Presiding Officer, School Tribunal, Praudh Shikshan Building, Station Road, East Side of Padampura Signal, Opp.Gov Public
School, Auranagabd : 431 001</t>
  </si>
  <si>
    <t>District and Sessions Court, Nagar Road,
Beed - 431 122</t>
  </si>
  <si>
    <t>District Judge -1 &amp; ASJ, Shivaji Chowk, Beed Road, Ambajogai - 431 517</t>
  </si>
  <si>
    <t>District Judge - 1 &amp; ASJ, Majalgaon - 431 127</t>
  </si>
  <si>
    <t>Court of Civil Judge, Senior Division &amp; Junior Division &amp; Judicial Magistrate, First Class, Shivaji Chowk, Beed Road, Ambajogain - 431 517</t>
  </si>
  <si>
    <t>Court of Civil Judge, Junior Division &amp;
Judicial Magistrate, First Class, Nagar Road, Ashti - 414 203</t>
  </si>
  <si>
    <t>Court of Civil Judge, Junior Division &amp; Judicial Magistrate, First Class, Dharur - 431 124</t>
  </si>
  <si>
    <t>Court of Civil Judge, Junior Division &amp;
Judicial Magistrate, First Class, Aurangabad Road, Georai - 431 127</t>
  </si>
  <si>
    <t>District Judge-1 &amp; Additional Sessions Judge, Kaij - 431 123</t>
  </si>
  <si>
    <t>Court of Civil Judge, Junior Division &amp; Judicial Magistrate, First Class, Near Sinchan Bhawan, Ambajogai Road, Parli - Vaijnath 431 515</t>
  </si>
  <si>
    <t>Court of Civil Judge, Junior Division &amp; Judicial Magistrate, First Class, Patoda - 414 204</t>
  </si>
  <si>
    <t>Court of Civil Judge, Junior Division &amp; Judicial Magistrate, First Class, Yes Parali Road Near Tahashil Office Wadwani- 431 122</t>
  </si>
  <si>
    <t>Bhandara</t>
  </si>
  <si>
    <t>District &amp; Sessions Court, District Court
Building, National Highway 6, Civil lines, Bhandara Tah. District Bhandara - 441 904</t>
  </si>
  <si>
    <t>District Judge - 1 &amp; ASJ, Khamgaon - 444 303</t>
  </si>
  <si>
    <t>Court of Civil Judge, Junior Division,
Shegaon - 444 203</t>
  </si>
  <si>
    <t>Dhule</t>
  </si>
  <si>
    <t>District &amp; Sessions Court, Dhule - 424 001</t>
  </si>
  <si>
    <t>District &amp; Sessions Court, Gadchiroli - 442 605</t>
  </si>
  <si>
    <t>District and Additinal Sessions Court, Aheri - 442 705</t>
  </si>
  <si>
    <t>District &amp; Additional Sessions Court, C.S. No.4302, Near Panchayat Samiti Office, Bhusawal – 425 201</t>
  </si>
  <si>
    <t>Civil cum Criminal Court, Gat No.140/2, Dongaon Shivar, Near Tahsil Office,
Bhadgaon – 424 105</t>
  </si>
  <si>
    <t xml:space="preserve">           </t>
  </si>
  <si>
    <t>Civil cum Criminal Court, Mhasawad Road, Erandol - 425 109</t>
  </si>
  <si>
    <t>Civil cum Criminal Court, Waki Road,
Behind S.T. Stand, Jamner - 424 206</t>
  </si>
  <si>
    <t>Civil cum Criminal Court, Girad Road,
Hanuman Wadi, Pachora - 424 201</t>
  </si>
  <si>
    <t>Civil cum Criminal Court, Near N.H.06,
Parola - 425 111</t>
  </si>
  <si>
    <t>Dt. 11/11/2024</t>
  </si>
  <si>
    <t>89 No. Of ICT in newly setup Courts where LAN Nodes to be provided in the State of Maharashtra and Goa</t>
  </si>
  <si>
    <t>TOTAL</t>
  </si>
  <si>
    <t>Per Lan Nodes</t>
  </si>
  <si>
    <t xml:space="preserve">Note :- </t>
  </si>
  <si>
    <t xml:space="preserve">Aurangabad Sr. no 21 Site Not Ready Report and Sr. No. 24 only 10 Lan Nodes Install so 22 Lan Nodes saving </t>
  </si>
  <si>
    <t>Date of Delivery</t>
  </si>
  <si>
    <r>
      <rPr>
        <b/>
        <sz val="11"/>
        <color rgb="FF232323"/>
        <rFont val="Times New Roman"/>
        <family val="1"/>
      </rPr>
      <t xml:space="preserve"> </t>
    </r>
    <r>
      <rPr>
        <b/>
        <sz val="11"/>
        <rFont val="Times New Roman"/>
        <family val="1"/>
      </rPr>
      <t xml:space="preserve">Name </t>
    </r>
    <r>
      <rPr>
        <b/>
        <sz val="11"/>
        <color rgb="FF080808"/>
        <rFont val="Times New Roman"/>
        <family val="1"/>
      </rPr>
      <t xml:space="preserve">of </t>
    </r>
    <r>
      <rPr>
        <b/>
        <sz val="11"/>
        <color rgb="FF0A0A0A"/>
        <rFont val="Times New Roman"/>
        <family val="1"/>
      </rPr>
      <t xml:space="preserve">the </t>
    </r>
    <r>
      <rPr>
        <b/>
        <sz val="11"/>
        <rFont val="Times New Roman"/>
        <family val="1"/>
      </rPr>
      <t xml:space="preserve">Judicia1
</t>
    </r>
    <r>
      <rPr>
        <b/>
        <sz val="11"/>
        <color rgb="FF0A0A0A"/>
        <rFont val="Times New Roman"/>
        <family val="1"/>
      </rPr>
      <t>District</t>
    </r>
  </si>
  <si>
    <r>
      <t xml:space="preserve">Name </t>
    </r>
    <r>
      <rPr>
        <b/>
        <sz val="11"/>
        <color rgb="FF0F0F0F"/>
        <rFont val="Times New Roman"/>
        <family val="1"/>
      </rPr>
      <t xml:space="preserve">of </t>
    </r>
    <r>
      <rPr>
        <b/>
        <sz val="11"/>
        <color rgb="FF050505"/>
        <rFont val="Times New Roman"/>
        <family val="1"/>
      </rPr>
      <t xml:space="preserve">Court </t>
    </r>
    <r>
      <rPr>
        <b/>
        <sz val="11"/>
        <rFont val="Times New Roman"/>
        <family val="1"/>
      </rPr>
      <t>Complex</t>
    </r>
  </si>
  <si>
    <t>Date of Installation</t>
  </si>
  <si>
    <t>Online Report Recive (Xerox)</t>
  </si>
  <si>
    <r>
      <rPr>
        <sz val="11"/>
        <color rgb="FF0F0F0F"/>
        <rFont val="Times New Roman"/>
        <family val="1"/>
      </rPr>
      <t xml:space="preserve">family </t>
    </r>
    <r>
      <rPr>
        <sz val="11"/>
        <rFont val="Times New Roman"/>
        <family val="1"/>
      </rPr>
      <t xml:space="preserve">Court  Belapur, 5th </t>
    </r>
    <r>
      <rPr>
        <sz val="11"/>
        <color rgb="FF0C0C0C"/>
        <rFont val="Times New Roman"/>
        <family val="1"/>
      </rPr>
      <t xml:space="preserve">Floor, </t>
    </r>
    <r>
      <rPr>
        <sz val="11"/>
        <rFont val="Times New Roman"/>
        <family val="1"/>
      </rPr>
      <t xml:space="preserve">Addl.
District  and </t>
    </r>
    <r>
      <rPr>
        <sz val="11"/>
        <color rgb="FF111111"/>
        <rFont val="Times New Roman"/>
        <family val="1"/>
      </rPr>
      <t xml:space="preserve">Sessions </t>
    </r>
    <r>
      <rPr>
        <sz val="11"/>
        <rFont val="Times New Roman"/>
        <family val="1"/>
      </rPr>
      <t xml:space="preserve">Court,   Belapur </t>
    </r>
    <r>
      <rPr>
        <sz val="11"/>
        <color rgb="FF0A0A0A"/>
        <rFont val="Times New Roman"/>
        <family val="1"/>
      </rPr>
      <t xml:space="preserve">Behind </t>
    </r>
    <r>
      <rPr>
        <sz val="11"/>
        <color rgb="FF080808"/>
        <rFont val="Times New Roman"/>
        <family val="1"/>
      </rPr>
      <t xml:space="preserve">Chroma  </t>
    </r>
    <r>
      <rPr>
        <sz val="11"/>
        <rFont val="Times New Roman"/>
        <family val="1"/>
      </rPr>
      <t xml:space="preserve">Showroom,  </t>
    </r>
    <r>
      <rPr>
        <sz val="11"/>
        <color rgb="FF0C0C0C"/>
        <rFont val="Times New Roman"/>
        <family val="1"/>
      </rPr>
      <t xml:space="preserve">Sector </t>
    </r>
    <r>
      <rPr>
        <sz val="11"/>
        <color rgb="FF212121"/>
        <rFont val="Times New Roman"/>
        <family val="1"/>
      </rPr>
      <t xml:space="preserve">15,   </t>
    </r>
    <r>
      <rPr>
        <sz val="11"/>
        <color rgb="FF0F0F0F"/>
        <rFont val="Times New Roman"/>
        <family val="1"/>
      </rPr>
      <t xml:space="preserve">CBD </t>
    </r>
    <r>
      <rPr>
        <sz val="11"/>
        <rFont val="Times New Roman"/>
        <family val="1"/>
      </rPr>
      <t xml:space="preserve">Belapur, </t>
    </r>
    <r>
      <rPr>
        <sz val="11"/>
        <color rgb="FF080808"/>
        <rFont val="Times New Roman"/>
        <family val="1"/>
      </rPr>
      <t xml:space="preserve">Navi </t>
    </r>
    <r>
      <rPr>
        <sz val="11"/>
        <rFont val="Times New Roman"/>
        <family val="1"/>
      </rPr>
      <t xml:space="preserve">Mumbai </t>
    </r>
    <r>
      <rPr>
        <sz val="11"/>
        <color rgb="FF383838"/>
        <rFont val="Times New Roman"/>
        <family val="1"/>
      </rPr>
      <t xml:space="preserve">— </t>
    </r>
    <r>
      <rPr>
        <sz val="11"/>
        <rFont val="Times New Roman"/>
        <family val="1"/>
      </rPr>
      <t>400619</t>
    </r>
  </si>
  <si>
    <t>Survey Cable Qty</t>
  </si>
  <si>
    <t xml:space="preserve">On site use cable </t>
  </si>
  <si>
    <t>Cabling rate for 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</si>
</sst>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d/mmm/yy;@"/>
  </numFmts>
  <fonts count="86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1"/>
      <name val="Times New Roman"/>
      <family val="1"/>
    </font>
    <font>
      <b/>
      <u/>
      <sz val="14"/>
      <name val="Times New Roman"/>
      <family val="1"/>
    </font>
    <font>
      <b/>
      <u/>
      <sz val="14"/>
      <color rgb="FF080808"/>
      <name val="Times New Roman"/>
      <family val="1"/>
    </font>
    <font>
      <b/>
      <u/>
      <sz val="14"/>
      <color rgb="FF0C0C0C"/>
      <name val="Times New Roman"/>
      <family val="1"/>
    </font>
    <font>
      <b/>
      <u/>
      <sz val="14"/>
      <color rgb="FF111111"/>
      <name val="Times New Roman"/>
      <family val="1"/>
    </font>
    <font>
      <b/>
      <u/>
      <sz val="14"/>
      <color rgb="FF0A0A0A"/>
      <name val="Times New Roman"/>
      <family val="1"/>
    </font>
    <font>
      <sz val="11"/>
      <color rgb="FF000000"/>
      <name val="Times New Roman"/>
      <family val="1"/>
    </font>
    <font>
      <sz val="11"/>
      <color rgb="FF232323"/>
      <name val="Times New Roman"/>
      <family val="1"/>
    </font>
    <font>
      <sz val="11"/>
      <name val="Times New Roman"/>
      <family val="1"/>
    </font>
    <font>
      <sz val="11"/>
      <color rgb="FF080808"/>
      <name val="Times New Roman"/>
      <family val="1"/>
    </font>
    <font>
      <sz val="11"/>
      <color rgb="FF0A0A0A"/>
      <name val="Times New Roman"/>
      <family val="1"/>
    </font>
    <font>
      <sz val="11"/>
      <color rgb="FF0F0F0F"/>
      <name val="Times New Roman"/>
      <family val="1"/>
    </font>
    <font>
      <sz val="11"/>
      <color rgb="FF050505"/>
      <name val="Times New Roman"/>
      <family val="1"/>
    </font>
    <font>
      <b/>
      <u/>
      <sz val="11"/>
      <color rgb="FF111111"/>
      <name val="Times New Roman"/>
      <family val="1"/>
    </font>
    <font>
      <u/>
      <sz val="11"/>
      <name val="Times New Roman"/>
      <family val="1"/>
    </font>
    <font>
      <sz val="11"/>
      <color rgb="FF1A1A1A"/>
      <name val="Times New Roman"/>
      <family val="1"/>
    </font>
    <font>
      <sz val="11"/>
      <color rgb="FF565656"/>
      <name val="Times New Roman"/>
      <family val="1"/>
    </font>
    <font>
      <sz val="11"/>
      <color rgb="FF131313"/>
      <name val="Times New Roman"/>
      <family val="1"/>
    </font>
    <font>
      <sz val="11"/>
      <color rgb="FF0E0E0E"/>
      <name val="Times New Roman"/>
      <family val="1"/>
    </font>
    <font>
      <sz val="11"/>
      <color rgb="FF242424"/>
      <name val="Times New Roman"/>
      <family val="1"/>
    </font>
    <font>
      <sz val="11"/>
      <color rgb="FF282828"/>
      <name val="Times New Roman"/>
      <family val="1"/>
    </font>
    <font>
      <sz val="11"/>
      <color rgb="FF161616"/>
      <name val="Times New Roman"/>
      <family val="1"/>
    </font>
    <font>
      <sz val="11"/>
      <color rgb="FF2A2A2A"/>
      <name val="Times New Roman"/>
      <family val="1"/>
    </font>
    <font>
      <sz val="11"/>
      <color rgb="FF070707"/>
      <name val="Times New Roman"/>
      <family val="1"/>
    </font>
    <font>
      <sz val="11"/>
      <color rgb="FF3A3A3A"/>
      <name val="Times New Roman"/>
      <family val="1"/>
    </font>
    <font>
      <sz val="11"/>
      <color rgb="FF111111"/>
      <name val="Times New Roman"/>
      <family val="1"/>
    </font>
    <font>
      <sz val="11"/>
      <color rgb="FF151515"/>
      <name val="Times New Roman"/>
      <family val="1"/>
    </font>
    <font>
      <sz val="11"/>
      <color rgb="FF0C0C0C"/>
      <name val="Times New Roman"/>
      <family val="1"/>
    </font>
    <font>
      <sz val="11"/>
      <color rgb="FF1F1F1F"/>
      <name val="Times New Roman"/>
      <family val="1"/>
    </font>
    <font>
      <i/>
      <sz val="11"/>
      <name val="Times New Roman"/>
      <family val="1"/>
    </font>
    <font>
      <sz val="11"/>
      <color rgb="FF181818"/>
      <name val="Times New Roman"/>
      <family val="1"/>
    </font>
    <font>
      <sz val="11"/>
      <color rgb="FF030303"/>
      <name val="Times New Roman"/>
      <family val="1"/>
    </font>
    <font>
      <sz val="11"/>
      <color rgb="FF313131"/>
      <name val="Times New Roman"/>
      <family val="1"/>
    </font>
    <font>
      <sz val="11"/>
      <color rgb="FF1C1C1C"/>
      <name val="Times New Roman"/>
      <family val="1"/>
    </font>
    <font>
      <sz val="11"/>
      <color rgb="FF212121"/>
      <name val="Times New Roman"/>
      <family val="1"/>
    </font>
    <font>
      <sz val="11"/>
      <color rgb="FF262626"/>
      <name val="Times New Roman"/>
      <family val="1"/>
    </font>
    <font>
      <sz val="11"/>
      <color rgb="FF1D1D1D"/>
      <name val="Times New Roman"/>
      <family val="1"/>
    </font>
    <font>
      <sz val="11"/>
      <color rgb="FF505050"/>
      <name val="Times New Roman"/>
      <family val="1"/>
    </font>
    <font>
      <sz val="11"/>
      <color rgb="FF2B2B2B"/>
      <name val="Times New Roman"/>
      <family val="1"/>
    </font>
    <font>
      <sz val="11"/>
      <color rgb="FF4D4D4D"/>
      <name val="Times New Roman"/>
      <family val="1"/>
    </font>
    <font>
      <sz val="11"/>
      <color rgb="FF494949"/>
      <name val="Times New Roman"/>
      <family val="1"/>
    </font>
    <font>
      <sz val="11"/>
      <color rgb="FF4B4B4B"/>
      <name val="Times New Roman"/>
      <family val="1"/>
    </font>
    <font>
      <sz val="11"/>
      <color rgb="FF2D2D2D"/>
      <name val="Times New Roman"/>
      <family val="1"/>
    </font>
    <font>
      <sz val="11"/>
      <color rgb="FF383838"/>
      <name val="Times New Roman"/>
      <family val="1"/>
    </font>
    <font>
      <sz val="11"/>
      <color rgb="FF444444"/>
      <name val="Times New Roman"/>
      <family val="1"/>
    </font>
    <font>
      <sz val="11"/>
      <color rgb="FF3F3F3F"/>
      <name val="Times New Roman"/>
      <family val="1"/>
    </font>
    <font>
      <sz val="11"/>
      <color rgb="FF333333"/>
      <name val="Times New Roman"/>
      <family val="1"/>
    </font>
    <font>
      <sz val="11"/>
      <color rgb="FF4F4F4F"/>
      <name val="Times New Roman"/>
      <family val="1"/>
    </font>
    <font>
      <sz val="11"/>
      <color rgb="FF2F2F2F"/>
      <name val="Times New Roman"/>
      <family val="1"/>
    </font>
    <font>
      <sz val="11"/>
      <color rgb="FF363636"/>
      <name val="Times New Roman"/>
      <family val="1"/>
    </font>
    <font>
      <sz val="11"/>
      <color rgb="FF414141"/>
      <name val="Times New Roman"/>
      <family val="1"/>
    </font>
    <font>
      <sz val="11"/>
      <color rgb="FF3D3D3D"/>
      <name val="Times New Roman"/>
      <family val="1"/>
    </font>
    <font>
      <sz val="11"/>
      <color rgb="FF545454"/>
      <name val="Times New Roman"/>
      <family val="1"/>
    </font>
    <font>
      <sz val="11"/>
      <color rgb="FF808080"/>
      <name val="Times New Roman"/>
      <family val="1"/>
    </font>
    <font>
      <sz val="11"/>
      <color rgb="FF676767"/>
      <name val="Times New Roman"/>
      <family val="1"/>
    </font>
    <font>
      <sz val="11"/>
      <color rgb="FF343434"/>
      <name val="Times New Roman"/>
      <family val="1"/>
    </font>
    <font>
      <b/>
      <sz val="11"/>
      <color rgb="FF0C0C0C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Calibri"/>
      <family val="2"/>
      <scheme val="minor"/>
    </font>
    <font>
      <sz val="10"/>
      <color rgb="FFFF0000"/>
      <name val="Times New Roman"/>
      <family val="1"/>
    </font>
    <font>
      <b/>
      <sz val="11"/>
      <color rgb="FF232323"/>
      <name val="Times New Roman"/>
      <family val="1"/>
    </font>
    <font>
      <b/>
      <sz val="11"/>
      <color rgb="FF080808"/>
      <name val="Times New Roman"/>
      <family val="1"/>
    </font>
    <font>
      <b/>
      <sz val="11"/>
      <color rgb="FF0A0A0A"/>
      <name val="Times New Roman"/>
      <family val="1"/>
    </font>
    <font>
      <b/>
      <sz val="11"/>
      <color rgb="FF0F0F0F"/>
      <name val="Times New Roman"/>
      <family val="1"/>
    </font>
    <font>
      <b/>
      <sz val="11"/>
      <color rgb="FF050505"/>
      <name val="Times New Roman"/>
      <family val="1"/>
    </font>
    <font>
      <sz val="11"/>
      <color rgb="FF000000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rgb="FF383B3F"/>
      </left>
      <right style="thin">
        <color rgb="FF383B3F"/>
      </right>
      <top style="thin">
        <color rgb="FF383B3F"/>
      </top>
      <bottom style="thin">
        <color rgb="FF383B3F"/>
      </bottom>
      <diagonal/>
    </border>
    <border>
      <left style="thin">
        <color rgb="FF383B3F"/>
      </left>
      <right style="thin">
        <color rgb="FF383B3F"/>
      </right>
      <top style="thin">
        <color rgb="FF383B3F"/>
      </top>
      <bottom/>
      <diagonal/>
    </border>
    <border>
      <left style="thin">
        <color rgb="FF383B3F"/>
      </left>
      <right style="thin">
        <color rgb="FF383B3F"/>
      </right>
      <top/>
      <bottom style="thin">
        <color rgb="FF383B3F"/>
      </bottom>
      <diagonal/>
    </border>
    <border>
      <left style="thin">
        <color rgb="FF3B3B44"/>
      </left>
      <right style="thin">
        <color rgb="FF3B3B44"/>
      </right>
      <top style="thin">
        <color rgb="FF3B3B44"/>
      </top>
      <bottom style="thin">
        <color rgb="FF3B3B44"/>
      </bottom>
      <diagonal/>
    </border>
    <border>
      <left style="thin">
        <color rgb="FF3B3B44"/>
      </left>
      <right style="thin">
        <color rgb="FF3B3B44"/>
      </right>
      <top style="thin">
        <color rgb="FF3B3B44"/>
      </top>
      <bottom style="thin">
        <color rgb="FF2B2B48"/>
      </bottom>
      <diagonal/>
    </border>
    <border>
      <left style="thin">
        <color rgb="FF3B3B44"/>
      </left>
      <right style="thin">
        <color rgb="FF3B3B44"/>
      </right>
      <top style="thin">
        <color rgb="FF2B2B48"/>
      </top>
      <bottom style="thin">
        <color rgb="FF3B3B44"/>
      </bottom>
      <diagonal/>
    </border>
    <border>
      <left style="thin">
        <color rgb="FF3F3F44"/>
      </left>
      <right style="thin">
        <color rgb="FF3F3F44"/>
      </right>
      <top style="thin">
        <color rgb="FF3F3F44"/>
      </top>
      <bottom style="thin">
        <color rgb="FF3F3F44"/>
      </bottom>
      <diagonal/>
    </border>
    <border>
      <left style="thin">
        <color rgb="FF3F3F44"/>
      </left>
      <right/>
      <top style="thin">
        <color rgb="FF3F3F44"/>
      </top>
      <bottom style="thin">
        <color rgb="FF3F3F44"/>
      </bottom>
      <diagonal/>
    </border>
    <border>
      <left/>
      <right style="thin">
        <color rgb="FF3F3F44"/>
      </right>
      <top style="thin">
        <color rgb="FF3F3F44"/>
      </top>
      <bottom style="thin">
        <color rgb="FF3F3F44"/>
      </bottom>
      <diagonal/>
    </border>
    <border>
      <left style="thin">
        <color rgb="FF3F3F44"/>
      </left>
      <right style="thin">
        <color rgb="FF3F3F44"/>
      </right>
      <top style="thin">
        <color rgb="FF3F3F44"/>
      </top>
      <bottom style="thin">
        <color rgb="FF0C1318"/>
      </bottom>
      <diagonal/>
    </border>
    <border>
      <left style="thin">
        <color rgb="FF3F3F44"/>
      </left>
      <right style="thin">
        <color rgb="FF3F3F44"/>
      </right>
      <top style="thin">
        <color rgb="FF0C1318"/>
      </top>
      <bottom style="thin">
        <color rgb="FF3F3F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83B3F"/>
      </right>
      <top style="thin">
        <color rgb="FF383B3F"/>
      </top>
      <bottom style="thin">
        <color rgb="FF383B3F"/>
      </bottom>
      <diagonal/>
    </border>
    <border>
      <left/>
      <right style="thin">
        <color rgb="FF3B3B44"/>
      </right>
      <top style="thin">
        <color rgb="FF3B3B44"/>
      </top>
      <bottom style="thin">
        <color rgb="FF3B3B44"/>
      </bottom>
      <diagonal/>
    </border>
    <border>
      <left style="thin">
        <color rgb="FF383B3F"/>
      </left>
      <right/>
      <top style="thin">
        <color rgb="FF383B3F"/>
      </top>
      <bottom style="thin">
        <color rgb="FF383B3F"/>
      </bottom>
      <diagonal/>
    </border>
    <border>
      <left style="thin">
        <color rgb="FF383B3F"/>
      </left>
      <right/>
      <top style="thin">
        <color rgb="FF383B3F"/>
      </top>
      <bottom style="thin">
        <color rgb="FF232838"/>
      </bottom>
      <diagonal/>
    </border>
    <border>
      <left style="thin">
        <color rgb="FF383B3F"/>
      </left>
      <right/>
      <top style="thin">
        <color rgb="FF232838"/>
      </top>
      <bottom style="thin">
        <color rgb="FF383B3F"/>
      </bottom>
      <diagonal/>
    </border>
    <border>
      <left style="thin">
        <color rgb="FF3B3B44"/>
      </left>
      <right/>
      <top style="thin">
        <color rgb="FF3B3B44"/>
      </top>
      <bottom style="thin">
        <color rgb="FF3B3B44"/>
      </bottom>
      <diagonal/>
    </border>
    <border>
      <left style="thin">
        <color rgb="FF3B3B44"/>
      </left>
      <right/>
      <top style="thin">
        <color rgb="FF3B3B44"/>
      </top>
      <bottom style="thin">
        <color rgb="FF13132B"/>
      </bottom>
      <diagonal/>
    </border>
    <border>
      <left style="thin">
        <color rgb="FF3B3B44"/>
      </left>
      <right/>
      <top style="thin">
        <color rgb="FF13132B"/>
      </top>
      <bottom style="thin">
        <color rgb="FF3B3B44"/>
      </bottom>
      <diagonal/>
    </border>
    <border>
      <left style="thin">
        <color rgb="FF3B3B44"/>
      </left>
      <right/>
      <top style="thin">
        <color rgb="FF3B3B44"/>
      </top>
      <bottom style="thin">
        <color rgb="FF342F3F"/>
      </bottom>
      <diagonal/>
    </border>
    <border>
      <left style="thin">
        <color rgb="FF3B3B44"/>
      </left>
      <right/>
      <top style="thin">
        <color rgb="FF342F3F"/>
      </top>
      <bottom style="thin">
        <color rgb="FF3B3B44"/>
      </bottom>
      <diagonal/>
    </border>
    <border>
      <left style="thin">
        <color rgb="FF3B3B44"/>
      </left>
      <right/>
      <top style="thin">
        <color rgb="FF3B3B44"/>
      </top>
      <bottom style="thin">
        <color rgb="FF282F4F"/>
      </bottom>
      <diagonal/>
    </border>
    <border>
      <left style="thin">
        <color rgb="FF3B3B44"/>
      </left>
      <right/>
      <top style="thin">
        <color rgb="FF282F4F"/>
      </top>
      <bottom style="thin">
        <color rgb="FF3F3B3F"/>
      </bottom>
      <diagonal/>
    </border>
    <border>
      <left style="thin">
        <color rgb="FF3B3B44"/>
      </left>
      <right/>
      <top style="thin">
        <color rgb="FF3F3B3F"/>
      </top>
      <bottom style="thin">
        <color rgb="FF3B3B44"/>
      </bottom>
      <diagonal/>
    </border>
    <border>
      <left style="thin">
        <color rgb="FF3F3F44"/>
      </left>
      <right/>
      <top style="thin">
        <color rgb="FF3F3F44"/>
      </top>
      <bottom style="thin">
        <color rgb="FF2F2B3F"/>
      </bottom>
      <diagonal/>
    </border>
    <border>
      <left style="thin">
        <color rgb="FF3F3F44"/>
      </left>
      <right/>
      <top style="thin">
        <color rgb="FF2F2B3F"/>
      </top>
      <bottom style="thin">
        <color rgb="FF3F3F44"/>
      </bottom>
      <diagonal/>
    </border>
    <border>
      <left style="thin">
        <color indexed="64"/>
      </left>
      <right style="thin">
        <color rgb="FF383B3F"/>
      </right>
      <top style="thin">
        <color rgb="FF383B3F"/>
      </top>
      <bottom/>
      <diagonal/>
    </border>
    <border>
      <left style="thin">
        <color indexed="64"/>
      </left>
      <right style="thin">
        <color rgb="FF383B3F"/>
      </right>
      <top/>
      <bottom style="thin">
        <color rgb="FF383B3F"/>
      </bottom>
      <diagonal/>
    </border>
    <border>
      <left style="thin">
        <color rgb="FF383B3F"/>
      </left>
      <right style="thin">
        <color indexed="64"/>
      </right>
      <top style="thin">
        <color rgb="FF383B3F"/>
      </top>
      <bottom/>
      <diagonal/>
    </border>
    <border>
      <left style="thin">
        <color rgb="FF383B3F"/>
      </left>
      <right style="thin">
        <color indexed="64"/>
      </right>
      <top/>
      <bottom style="thin">
        <color rgb="FF383B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0" borderId="0"/>
    <xf numFmtId="43" fontId="59" fillId="0" borderId="0" applyFont="0" applyFill="0" applyBorder="0" applyAlignment="0" applyProtection="0"/>
    <xf numFmtId="0" fontId="59" fillId="0" borderId="0"/>
  </cellStyleXfs>
  <cellXfs count="27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9" xfId="0" applyFont="1" applyBorder="1" applyAlignment="1">
      <alignment horizontal="left" wrapText="1"/>
    </xf>
    <xf numFmtId="0" fontId="8" fillId="0" borderId="7" xfId="0" applyFont="1" applyBorder="1" applyAlignment="1">
      <alignment horizontal="left" wrapText="1"/>
    </xf>
    <xf numFmtId="1" fontId="10" fillId="0" borderId="7" xfId="0" applyNumberFormat="1" applyFont="1" applyBorder="1" applyAlignment="1">
      <alignment horizontal="center" vertical="top" wrapText="1"/>
    </xf>
    <xf numFmtId="1" fontId="58" fillId="0" borderId="8" xfId="0" applyNumberFormat="1" applyFont="1" applyBorder="1" applyAlignment="1">
      <alignment horizontal="center" vertical="top" shrinkToFit="1"/>
    </xf>
    <xf numFmtId="0" fontId="10" fillId="2" borderId="14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11" fillId="0" borderId="15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wrapText="1"/>
    </xf>
    <xf numFmtId="1" fontId="8" fillId="0" borderId="15" xfId="0" applyNumberFormat="1" applyFont="1" applyBorder="1" applyAlignment="1">
      <alignment horizontal="center" vertical="top" shrinkToFit="1"/>
    </xf>
    <xf numFmtId="1" fontId="14" fillId="0" borderId="15" xfId="0" applyNumberFormat="1" applyFont="1" applyBorder="1" applyAlignment="1">
      <alignment horizontal="center" vertical="top" shrinkToFit="1"/>
    </xf>
    <xf numFmtId="1" fontId="12" fillId="0" borderId="15" xfId="0" applyNumberFormat="1" applyFont="1" applyBorder="1" applyAlignment="1">
      <alignment horizontal="center" vertical="top" shrinkToFit="1"/>
    </xf>
    <xf numFmtId="1" fontId="29" fillId="0" borderId="15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10" fillId="0" borderId="15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center" vertical="top" wrapText="1"/>
    </xf>
    <xf numFmtId="1" fontId="8" fillId="0" borderId="16" xfId="0" applyNumberFormat="1" applyFont="1" applyBorder="1" applyAlignment="1">
      <alignment horizontal="center" vertical="top" shrinkToFit="1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 wrapText="1"/>
    </xf>
    <xf numFmtId="1" fontId="8" fillId="0" borderId="18" xfId="0" applyNumberFormat="1" applyFont="1" applyBorder="1" applyAlignment="1">
      <alignment horizontal="center" vertical="top" shrinkToFit="1"/>
    </xf>
    <xf numFmtId="0" fontId="8" fillId="0" borderId="5" xfId="0" applyFont="1" applyBorder="1" applyAlignment="1">
      <alignment horizontal="center" vertical="top" wrapText="1"/>
    </xf>
    <xf numFmtId="1" fontId="8" fillId="0" borderId="19" xfId="0" applyNumberFormat="1" applyFont="1" applyBorder="1" applyAlignment="1">
      <alignment horizontal="center" vertical="top" shrinkToFit="1"/>
    </xf>
    <xf numFmtId="0" fontId="8" fillId="0" borderId="6" xfId="0" applyFont="1" applyBorder="1" applyAlignment="1">
      <alignment horizontal="center" vertical="top" wrapText="1"/>
    </xf>
    <xf numFmtId="1" fontId="8" fillId="0" borderId="20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29" fillId="0" borderId="4" xfId="0" applyNumberFormat="1" applyFont="1" applyBorder="1" applyAlignment="1">
      <alignment horizontal="center" vertical="top" shrinkToFit="1"/>
    </xf>
    <xf numFmtId="0" fontId="10" fillId="0" borderId="18" xfId="0" applyFont="1" applyBorder="1" applyAlignment="1">
      <alignment horizontal="center" vertical="top" wrapText="1"/>
    </xf>
    <xf numFmtId="1" fontId="11" fillId="0" borderId="18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1" fontId="27" fillId="0" borderId="21" xfId="0" applyNumberFormat="1" applyFont="1" applyBorder="1" applyAlignment="1">
      <alignment horizontal="center" vertical="top" shrinkToFit="1"/>
    </xf>
    <xf numFmtId="1" fontId="8" fillId="0" borderId="22" xfId="0" applyNumberFormat="1" applyFont="1" applyBorder="1" applyAlignment="1">
      <alignment horizontal="center" vertical="top" shrinkToFit="1"/>
    </xf>
    <xf numFmtId="1" fontId="46" fillId="0" borderId="4" xfId="0" applyNumberFormat="1" applyFont="1" applyBorder="1" applyAlignment="1">
      <alignment horizontal="center" vertical="top" shrinkToFit="1"/>
    </xf>
    <xf numFmtId="1" fontId="11" fillId="0" borderId="23" xfId="0" applyNumberFormat="1" applyFont="1" applyBorder="1" applyAlignment="1">
      <alignment horizontal="center" vertical="top" shrinkToFit="1"/>
    </xf>
    <xf numFmtId="0" fontId="10" fillId="0" borderId="4" xfId="0" applyFont="1" applyBorder="1" applyAlignment="1">
      <alignment horizontal="center" vertical="top" wrapText="1"/>
    </xf>
    <xf numFmtId="1" fontId="8" fillId="0" borderId="24" xfId="0" applyNumberFormat="1" applyFont="1" applyBorder="1" applyAlignment="1">
      <alignment horizontal="center" vertical="top" shrinkToFit="1"/>
    </xf>
    <xf numFmtId="1" fontId="13" fillId="0" borderId="25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1" fontId="25" fillId="0" borderId="18" xfId="0" applyNumberFormat="1" applyFont="1" applyBorder="1" applyAlignment="1">
      <alignment horizontal="center" vertical="top" shrinkToFit="1"/>
    </xf>
    <xf numFmtId="1" fontId="19" fillId="0" borderId="18" xfId="0" applyNumberFormat="1" applyFont="1" applyBorder="1" applyAlignment="1">
      <alignment horizontal="center" vertical="top" shrinkToFit="1"/>
    </xf>
    <xf numFmtId="0" fontId="10" fillId="0" borderId="4" xfId="0" applyFont="1" applyBorder="1" applyAlignment="1">
      <alignment horizontal="left" vertical="top" wrapText="1"/>
    </xf>
    <xf numFmtId="1" fontId="28" fillId="0" borderId="18" xfId="0" applyNumberFormat="1" applyFont="1" applyBorder="1" applyAlignment="1">
      <alignment horizontal="center" vertical="top" shrinkToFit="1"/>
    </xf>
    <xf numFmtId="1" fontId="29" fillId="0" borderId="18" xfId="0" applyNumberFormat="1" applyFont="1" applyBorder="1" applyAlignment="1">
      <alignment horizontal="center" vertical="top" shrinkToFit="1"/>
    </xf>
    <xf numFmtId="1" fontId="27" fillId="0" borderId="18" xfId="0" applyNumberFormat="1" applyFont="1" applyBorder="1" applyAlignment="1">
      <alignment horizontal="center" vertical="top" shrinkToFit="1"/>
    </xf>
    <xf numFmtId="1" fontId="48" fillId="0" borderId="4" xfId="0" applyNumberFormat="1" applyFont="1" applyBorder="1" applyAlignment="1">
      <alignment horizontal="center" vertical="top" shrinkToFit="1"/>
    </xf>
    <xf numFmtId="1" fontId="32" fillId="0" borderId="4" xfId="0" applyNumberFormat="1" applyFont="1" applyBorder="1" applyAlignment="1">
      <alignment horizontal="center" vertical="top" shrinkToFit="1"/>
    </xf>
    <xf numFmtId="0" fontId="29" fillId="0" borderId="18" xfId="0" applyFont="1" applyBorder="1" applyAlignment="1">
      <alignment horizontal="center" vertical="top" wrapText="1"/>
    </xf>
    <xf numFmtId="1" fontId="23" fillId="0" borderId="4" xfId="0" applyNumberFormat="1" applyFont="1" applyBorder="1" applyAlignment="1">
      <alignment horizontal="center" vertical="top" shrinkToFit="1"/>
    </xf>
    <xf numFmtId="1" fontId="13" fillId="0" borderId="18" xfId="0" applyNumberFormat="1" applyFont="1" applyBorder="1" applyAlignment="1">
      <alignment horizontal="center" vertical="top" shrinkToFit="1"/>
    </xf>
    <xf numFmtId="0" fontId="13" fillId="0" borderId="14" xfId="0" applyFont="1" applyBorder="1" applyAlignment="1">
      <alignment horizontal="center" vertical="top" wrapText="1"/>
    </xf>
    <xf numFmtId="1" fontId="9" fillId="0" borderId="4" xfId="0" applyNumberFormat="1" applyFont="1" applyBorder="1" applyAlignment="1">
      <alignment horizontal="center" vertical="top" shrinkToFit="1"/>
    </xf>
    <xf numFmtId="0" fontId="8" fillId="0" borderId="18" xfId="0" applyFont="1" applyBorder="1" applyAlignment="1">
      <alignment horizontal="center" vertical="top" wrapText="1"/>
    </xf>
    <xf numFmtId="1" fontId="12" fillId="0" borderId="18" xfId="0" applyNumberFormat="1" applyFont="1" applyBorder="1" applyAlignment="1">
      <alignment horizontal="center" vertical="top" shrinkToFit="1"/>
    </xf>
    <xf numFmtId="1" fontId="35" fillId="0" borderId="4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1" fontId="14" fillId="0" borderId="18" xfId="0" applyNumberFormat="1" applyFont="1" applyBorder="1" applyAlignment="1">
      <alignment horizontal="center" vertical="top" shrinkToFit="1"/>
    </xf>
    <xf numFmtId="1" fontId="20" fillId="0" borderId="18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8" fillId="0" borderId="14" xfId="0" applyFont="1" applyBorder="1" applyAlignment="1">
      <alignment horizontal="center" vertical="top" wrapText="1"/>
    </xf>
    <xf numFmtId="1" fontId="34" fillId="0" borderId="4" xfId="0" applyNumberFormat="1" applyFont="1" applyBorder="1" applyAlignment="1">
      <alignment horizontal="center" vertical="top" shrinkToFit="1"/>
    </xf>
    <xf numFmtId="1" fontId="28" fillId="0" borderId="4" xfId="0" applyNumberFormat="1" applyFont="1" applyBorder="1" applyAlignment="1">
      <alignment horizontal="center" vertical="top" shrinkToFit="1"/>
    </xf>
    <xf numFmtId="0" fontId="10" fillId="0" borderId="9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left" vertical="top" wrapText="1"/>
    </xf>
    <xf numFmtId="1" fontId="20" fillId="0" borderId="7" xfId="0" applyNumberFormat="1" applyFont="1" applyBorder="1" applyAlignment="1">
      <alignment horizontal="center" vertical="top" shrinkToFit="1"/>
    </xf>
    <xf numFmtId="1" fontId="25" fillId="0" borderId="8" xfId="0" applyNumberFormat="1" applyFont="1" applyBorder="1" applyAlignment="1">
      <alignment horizontal="center" vertical="top" shrinkToFit="1"/>
    </xf>
    <xf numFmtId="0" fontId="8" fillId="0" borderId="7" xfId="0" applyFont="1" applyBorder="1" applyAlignment="1">
      <alignment horizontal="center" vertical="top" wrapText="1"/>
    </xf>
    <xf numFmtId="1" fontId="11" fillId="0" borderId="8" xfId="0" applyNumberFormat="1" applyFont="1" applyBorder="1" applyAlignment="1">
      <alignment horizontal="center" vertical="top" shrinkToFit="1"/>
    </xf>
    <xf numFmtId="1" fontId="35" fillId="0" borderId="8" xfId="0" applyNumberFormat="1" applyFont="1" applyBorder="1" applyAlignment="1">
      <alignment horizontal="center" vertical="top" shrinkToFit="1"/>
    </xf>
    <xf numFmtId="0" fontId="10" fillId="0" borderId="7" xfId="0" applyFont="1" applyBorder="1" applyAlignment="1">
      <alignment horizontal="left" vertical="top" wrapText="1"/>
    </xf>
    <xf numFmtId="1" fontId="27" fillId="0" borderId="8" xfId="0" applyNumberFormat="1" applyFont="1" applyBorder="1" applyAlignment="1">
      <alignment horizontal="center" vertical="top" shrinkToFit="1"/>
    </xf>
    <xf numFmtId="1" fontId="8" fillId="0" borderId="8" xfId="0" applyNumberFormat="1" applyFont="1" applyBorder="1" applyAlignment="1">
      <alignment horizontal="center" vertical="top" shrinkToFit="1"/>
    </xf>
    <xf numFmtId="1" fontId="17" fillId="0" borderId="7" xfId="0" applyNumberFormat="1" applyFont="1" applyBorder="1" applyAlignment="1">
      <alignment horizontal="center" vertical="top" shrinkToFit="1"/>
    </xf>
    <xf numFmtId="0" fontId="8" fillId="0" borderId="9" xfId="0" applyFont="1" applyBorder="1" applyAlignment="1">
      <alignment horizontal="center" vertical="top" wrapText="1"/>
    </xf>
    <xf numFmtId="1" fontId="29" fillId="0" borderId="8" xfId="0" applyNumberFormat="1" applyFont="1" applyBorder="1" applyAlignment="1">
      <alignment horizontal="center" vertical="top" shrinkToFit="1"/>
    </xf>
    <xf numFmtId="1" fontId="11" fillId="0" borderId="7" xfId="0" applyNumberFormat="1" applyFont="1" applyBorder="1" applyAlignment="1">
      <alignment horizontal="center" vertical="top" shrinkToFit="1"/>
    </xf>
    <xf numFmtId="1" fontId="32" fillId="0" borderId="7" xfId="0" applyNumberFormat="1" applyFont="1" applyBorder="1" applyAlignment="1">
      <alignment horizontal="center" vertical="top" shrinkToFit="1"/>
    </xf>
    <xf numFmtId="1" fontId="29" fillId="0" borderId="7" xfId="0" applyNumberFormat="1" applyFont="1" applyBorder="1" applyAlignment="1">
      <alignment horizontal="center" vertical="top" shrinkToFit="1"/>
    </xf>
    <xf numFmtId="1" fontId="42" fillId="0" borderId="7" xfId="0" applyNumberFormat="1" applyFont="1" applyBorder="1" applyAlignment="1">
      <alignment horizontal="center" vertical="top" shrinkToFit="1"/>
    </xf>
    <xf numFmtId="1" fontId="20" fillId="0" borderId="8" xfId="0" applyNumberFormat="1" applyFont="1" applyBorder="1" applyAlignment="1">
      <alignment horizontal="center" vertical="top" shrinkToFit="1"/>
    </xf>
    <xf numFmtId="1" fontId="54" fillId="0" borderId="7" xfId="0" applyNumberFormat="1" applyFont="1" applyBorder="1" applyAlignment="1">
      <alignment horizontal="center" vertical="top" shrinkToFit="1"/>
    </xf>
    <xf numFmtId="1" fontId="55" fillId="0" borderId="7" xfId="0" applyNumberFormat="1" applyFont="1" applyBorder="1" applyAlignment="1">
      <alignment horizontal="center" vertical="top" shrinkToFit="1"/>
    </xf>
    <xf numFmtId="1" fontId="35" fillId="0" borderId="7" xfId="0" applyNumberFormat="1" applyFont="1" applyBorder="1" applyAlignment="1">
      <alignment horizontal="center" vertical="top" shrinkToFit="1"/>
    </xf>
    <xf numFmtId="1" fontId="34" fillId="0" borderId="7" xfId="0" applyNumberFormat="1" applyFont="1" applyBorder="1" applyAlignment="1">
      <alignment horizontal="center" vertical="top" shrinkToFit="1"/>
    </xf>
    <xf numFmtId="1" fontId="23" fillId="0" borderId="8" xfId="0" applyNumberFormat="1" applyFont="1" applyBorder="1" applyAlignment="1">
      <alignment horizontal="center" vertical="top" shrinkToFit="1"/>
    </xf>
    <xf numFmtId="0" fontId="8" fillId="0" borderId="10" xfId="0" applyFont="1" applyBorder="1" applyAlignment="1">
      <alignment horizontal="center" vertical="top" wrapText="1"/>
    </xf>
    <xf numFmtId="1" fontId="29" fillId="0" borderId="26" xfId="0" applyNumberFormat="1" applyFont="1" applyBorder="1" applyAlignment="1">
      <alignment horizontal="center" vertical="top" shrinkToFit="1"/>
    </xf>
    <xf numFmtId="0" fontId="8" fillId="0" borderId="11" xfId="0" applyFont="1" applyBorder="1" applyAlignment="1">
      <alignment horizontal="center" vertical="top" wrapText="1"/>
    </xf>
    <xf numFmtId="0" fontId="10" fillId="0" borderId="27" xfId="0" applyFont="1" applyBorder="1" applyAlignment="1">
      <alignment horizontal="center" vertical="top" wrapText="1"/>
    </xf>
    <xf numFmtId="1" fontId="19" fillId="0" borderId="8" xfId="0" applyNumberFormat="1" applyFont="1" applyBorder="1" applyAlignment="1">
      <alignment horizontal="center" vertical="top" shrinkToFit="1"/>
    </xf>
    <xf numFmtId="0" fontId="10" fillId="0" borderId="8" xfId="0" applyFont="1" applyBorder="1" applyAlignment="1">
      <alignment horizontal="center" vertical="top" wrapText="1"/>
    </xf>
    <xf numFmtId="1" fontId="11" fillId="2" borderId="17" xfId="0" applyNumberFormat="1" applyFont="1" applyFill="1" applyBorder="1" applyAlignment="1">
      <alignment horizontal="center" vertical="top" shrinkToFit="1"/>
    </xf>
    <xf numFmtId="0" fontId="60" fillId="0" borderId="0" xfId="0" applyFont="1"/>
    <xf numFmtId="0" fontId="61" fillId="0" borderId="0" xfId="0" applyFont="1" applyAlignment="1">
      <alignment horizontal="left"/>
    </xf>
    <xf numFmtId="0" fontId="60" fillId="0" borderId="0" xfId="0" applyFont="1" applyAlignment="1">
      <alignment horizontal="left"/>
    </xf>
    <xf numFmtId="0" fontId="63" fillId="0" borderId="0" xfId="0" applyFont="1" applyAlignment="1">
      <alignment horizontal="left" vertical="top" wrapText="1"/>
    </xf>
    <xf numFmtId="0" fontId="61" fillId="0" borderId="12" xfId="0" applyFont="1" applyBorder="1" applyAlignment="1">
      <alignment horizontal="center" vertical="top"/>
    </xf>
    <xf numFmtId="0" fontId="60" fillId="0" borderId="12" xfId="0" applyFont="1" applyBorder="1" applyAlignment="1">
      <alignment horizontal="center" vertical="top"/>
    </xf>
    <xf numFmtId="0" fontId="63" fillId="0" borderId="12" xfId="0" applyFont="1" applyBorder="1" applyAlignment="1">
      <alignment horizontal="left" vertical="top" wrapText="1"/>
    </xf>
    <xf numFmtId="43" fontId="60" fillId="0" borderId="12" xfId="2" applyFont="1" applyBorder="1" applyAlignment="1">
      <alignment horizontal="center" vertical="top"/>
    </xf>
    <xf numFmtId="2" fontId="60" fillId="0" borderId="12" xfId="0" applyNumberFormat="1" applyFont="1" applyBorder="1" applyAlignment="1">
      <alignment horizontal="center" vertical="top"/>
    </xf>
    <xf numFmtId="0" fontId="64" fillId="0" borderId="12" xfId="0" applyFont="1" applyBorder="1" applyAlignment="1">
      <alignment vertical="top" wrapText="1"/>
    </xf>
    <xf numFmtId="0" fontId="10" fillId="3" borderId="34" xfId="0" applyFont="1" applyFill="1" applyBorder="1" applyAlignment="1">
      <alignment vertical="top" wrapText="1"/>
    </xf>
    <xf numFmtId="0" fontId="60" fillId="0" borderId="34" xfId="0" applyFont="1" applyBorder="1" applyAlignment="1">
      <alignment horizontal="left" vertical="top" wrapText="1"/>
    </xf>
    <xf numFmtId="0" fontId="60" fillId="0" borderId="12" xfId="0" applyFont="1" applyBorder="1" applyAlignment="1">
      <alignment horizontal="left" vertical="top" wrapText="1"/>
    </xf>
    <xf numFmtId="0" fontId="60" fillId="0" borderId="12" xfId="0" applyFont="1" applyBorder="1" applyAlignment="1">
      <alignment horizontal="center" vertical="center"/>
    </xf>
    <xf numFmtId="4" fontId="61" fillId="0" borderId="12" xfId="0" applyNumberFormat="1" applyFont="1" applyBorder="1" applyAlignment="1">
      <alignment horizontal="center" vertical="center"/>
    </xf>
    <xf numFmtId="4" fontId="60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right" vertical="top"/>
    </xf>
    <xf numFmtId="0" fontId="64" fillId="0" borderId="0" xfId="0" applyFont="1" applyAlignment="1">
      <alignment vertical="top"/>
    </xf>
    <xf numFmtId="9" fontId="61" fillId="0" borderId="0" xfId="0" applyNumberFormat="1" applyFont="1" applyAlignment="1">
      <alignment horizontal="center" vertical="center"/>
    </xf>
    <xf numFmtId="4" fontId="61" fillId="0" borderId="0" xfId="0" applyNumberFormat="1" applyFont="1" applyAlignment="1">
      <alignment horizontal="center" vertical="center"/>
    </xf>
    <xf numFmtId="0" fontId="60" fillId="0" borderId="0" xfId="0" applyFont="1" applyAlignment="1">
      <alignment vertical="top"/>
    </xf>
    <xf numFmtId="0" fontId="65" fillId="0" borderId="0" xfId="0" applyFont="1" applyAlignment="1">
      <alignment vertical="top"/>
    </xf>
    <xf numFmtId="4" fontId="60" fillId="0" borderId="0" xfId="0" applyNumberFormat="1" applyFont="1" applyAlignment="1">
      <alignment vertical="top"/>
    </xf>
    <xf numFmtId="0" fontId="60" fillId="0" borderId="0" xfId="0" applyFont="1" applyAlignment="1">
      <alignment horizontal="right"/>
    </xf>
    <xf numFmtId="1" fontId="58" fillId="0" borderId="12" xfId="0" applyNumberFormat="1" applyFont="1" applyBorder="1" applyAlignment="1">
      <alignment horizontal="center" vertical="top" shrinkToFit="1"/>
    </xf>
    <xf numFmtId="1" fontId="60" fillId="0" borderId="0" xfId="0" applyNumberFormat="1" applyFont="1"/>
    <xf numFmtId="43" fontId="60" fillId="0" borderId="0" xfId="0" applyNumberFormat="1" applyFont="1"/>
    <xf numFmtId="0" fontId="66" fillId="0" borderId="0" xfId="0" applyFont="1" applyAlignment="1">
      <alignment horizontal="left" vertical="top"/>
    </xf>
    <xf numFmtId="43" fontId="66" fillId="2" borderId="12" xfId="2" applyFont="1" applyFill="1" applyBorder="1" applyAlignment="1">
      <alignment horizontal="center" vertical="top"/>
    </xf>
    <xf numFmtId="0" fontId="61" fillId="0" borderId="12" xfId="0" applyFont="1" applyBorder="1" applyAlignment="1">
      <alignment horizontal="center" vertical="center"/>
    </xf>
    <xf numFmtId="0" fontId="0" fillId="0" borderId="0" xfId="0"/>
    <xf numFmtId="1" fontId="8" fillId="3" borderId="37" xfId="3" applyNumberFormat="1" applyFont="1" applyFill="1" applyBorder="1" applyAlignment="1">
      <alignment horizontal="center" vertical="center" shrinkToFit="1"/>
    </xf>
    <xf numFmtId="0" fontId="10" fillId="3" borderId="37" xfId="3" applyFont="1" applyFill="1" applyBorder="1" applyAlignment="1">
      <alignment horizontal="center" vertical="center" wrapText="1"/>
    </xf>
    <xf numFmtId="0" fontId="10" fillId="3" borderId="38" xfId="3" applyFont="1" applyFill="1" applyBorder="1" applyAlignment="1">
      <alignment vertical="top" wrapText="1"/>
    </xf>
    <xf numFmtId="1" fontId="71" fillId="3" borderId="12" xfId="3" applyNumberFormat="1" applyFont="1" applyFill="1" applyBorder="1" applyAlignment="1">
      <alignment horizontal="center" vertical="center" shrinkToFit="1"/>
    </xf>
    <xf numFmtId="0" fontId="72" fillId="3" borderId="12" xfId="3" applyFont="1" applyFill="1" applyBorder="1" applyAlignment="1">
      <alignment horizontal="center" vertical="center" wrapText="1"/>
    </xf>
    <xf numFmtId="0" fontId="73" fillId="3" borderId="12" xfId="0" applyFont="1" applyFill="1" applyBorder="1" applyAlignment="1">
      <alignment horizontal="center" vertical="center"/>
    </xf>
    <xf numFmtId="1" fontId="67" fillId="0" borderId="12" xfId="0" applyNumberFormat="1" applyFont="1" applyBorder="1" applyAlignment="1">
      <alignment horizontal="center" vertical="center"/>
    </xf>
    <xf numFmtId="43" fontId="66" fillId="0" borderId="0" xfId="0" applyNumberFormat="1" applyFont="1"/>
    <xf numFmtId="0" fontId="74" fillId="0" borderId="0" xfId="0" applyFont="1"/>
    <xf numFmtId="43" fontId="75" fillId="0" borderId="12" xfId="0" applyNumberFormat="1" applyFont="1" applyBorder="1"/>
    <xf numFmtId="0" fontId="61" fillId="0" borderId="12" xfId="0" applyFont="1" applyBorder="1" applyAlignment="1">
      <alignment horizontal="center"/>
    </xf>
    <xf numFmtId="0" fontId="60" fillId="0" borderId="12" xfId="0" applyFont="1" applyBorder="1"/>
    <xf numFmtId="0" fontId="69" fillId="0" borderId="39" xfId="1" applyFont="1" applyBorder="1" applyAlignment="1">
      <alignment horizontal="center" vertical="center" wrapText="1"/>
    </xf>
    <xf numFmtId="0" fontId="69" fillId="0" borderId="40" xfId="1" applyFont="1" applyBorder="1" applyAlignment="1">
      <alignment horizontal="center" vertical="center" wrapText="1"/>
    </xf>
    <xf numFmtId="0" fontId="70" fillId="3" borderId="41" xfId="1" applyFont="1" applyFill="1" applyBorder="1" applyAlignment="1">
      <alignment horizontal="center" vertical="center" wrapText="1"/>
    </xf>
    <xf numFmtId="0" fontId="69" fillId="0" borderId="41" xfId="1" applyFont="1" applyBorder="1" applyAlignment="1">
      <alignment horizontal="center" vertical="center" wrapText="1"/>
    </xf>
    <xf numFmtId="0" fontId="69" fillId="0" borderId="42" xfId="1" applyFont="1" applyBorder="1" applyAlignment="1">
      <alignment horizontal="center" vertical="center" wrapText="1"/>
    </xf>
    <xf numFmtId="0" fontId="69" fillId="0" borderId="33" xfId="1" applyFont="1" applyBorder="1" applyAlignment="1">
      <alignment horizontal="center" vertical="center" wrapText="1"/>
    </xf>
    <xf numFmtId="0" fontId="10" fillId="0" borderId="37" xfId="3" applyFont="1" applyBorder="1" applyAlignment="1">
      <alignment horizontal="center" vertical="center" wrapText="1"/>
    </xf>
    <xf numFmtId="0" fontId="10" fillId="0" borderId="38" xfId="3" applyFont="1" applyBorder="1" applyAlignment="1">
      <alignment vertical="top" wrapText="1"/>
    </xf>
    <xf numFmtId="1" fontId="71" fillId="0" borderId="12" xfId="3" applyNumberFormat="1" applyFont="1" applyBorder="1" applyAlignment="1">
      <alignment horizontal="center" vertical="center" shrinkToFit="1"/>
    </xf>
    <xf numFmtId="0" fontId="72" fillId="0" borderId="12" xfId="3" applyFont="1" applyBorder="1" applyAlignment="1">
      <alignment horizontal="center" vertical="center" wrapText="1"/>
    </xf>
    <xf numFmtId="0" fontId="73" fillId="0" borderId="12" xfId="0" applyFont="1" applyBorder="1" applyAlignment="1">
      <alignment horizontal="center" vertical="center"/>
    </xf>
    <xf numFmtId="0" fontId="10" fillId="2" borderId="37" xfId="3" applyFont="1" applyFill="1" applyBorder="1" applyAlignment="1">
      <alignment horizontal="center" vertical="center" wrapText="1"/>
    </xf>
    <xf numFmtId="0" fontId="10" fillId="2" borderId="38" xfId="3" applyFont="1" applyFill="1" applyBorder="1" applyAlignment="1">
      <alignment vertical="top" wrapText="1"/>
    </xf>
    <xf numFmtId="1" fontId="71" fillId="2" borderId="12" xfId="3" applyNumberFormat="1" applyFont="1" applyFill="1" applyBorder="1" applyAlignment="1">
      <alignment horizontal="center" vertical="center" shrinkToFit="1"/>
    </xf>
    <xf numFmtId="0" fontId="72" fillId="2" borderId="12" xfId="3" applyFont="1" applyFill="1" applyBorder="1" applyAlignment="1">
      <alignment horizontal="center" vertical="center" wrapText="1"/>
    </xf>
    <xf numFmtId="0" fontId="73" fillId="2" borderId="12" xfId="0" applyFont="1" applyFill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top" wrapText="1"/>
    </xf>
    <xf numFmtId="43" fontId="66" fillId="0" borderId="0" xfId="0" applyNumberFormat="1" applyFont="1" applyAlignment="1">
      <alignment horizontal="left" vertical="top"/>
    </xf>
    <xf numFmtId="43" fontId="66" fillId="0" borderId="12" xfId="0" applyNumberFormat="1" applyFont="1" applyBorder="1" applyAlignment="1">
      <alignment horizontal="left" vertical="top"/>
    </xf>
    <xf numFmtId="43" fontId="61" fillId="0" borderId="12" xfId="2" applyFont="1" applyBorder="1" applyAlignment="1">
      <alignment horizontal="center" vertical="top"/>
    </xf>
    <xf numFmtId="1" fontId="1" fillId="0" borderId="0" xfId="0" applyNumberFormat="1" applyFont="1" applyAlignment="1">
      <alignment horizontal="left" vertical="top"/>
    </xf>
    <xf numFmtId="0" fontId="8" fillId="2" borderId="12" xfId="0" applyFont="1" applyFill="1" applyBorder="1" applyAlignment="1">
      <alignment horizontal="center" vertical="top"/>
    </xf>
    <xf numFmtId="0" fontId="8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1" fontId="8" fillId="2" borderId="18" xfId="0" applyNumberFormat="1" applyFont="1" applyFill="1" applyBorder="1" applyAlignment="1">
      <alignment horizontal="center" vertical="top" shrinkToFit="1"/>
    </xf>
    <xf numFmtId="1" fontId="8" fillId="2" borderId="37" xfId="3" applyNumberFormat="1" applyFont="1" applyFill="1" applyBorder="1" applyAlignment="1">
      <alignment horizontal="center" vertical="center" shrinkToFit="1"/>
    </xf>
    <xf numFmtId="1" fontId="67" fillId="2" borderId="12" xfId="0" applyNumberFormat="1" applyFont="1" applyFill="1" applyBorder="1" applyAlignment="1">
      <alignment horizontal="center" vertical="center"/>
    </xf>
    <xf numFmtId="1" fontId="76" fillId="2" borderId="12" xfId="0" applyNumberFormat="1" applyFont="1" applyFill="1" applyBorder="1" applyAlignment="1">
      <alignment horizontal="center" vertical="center"/>
    </xf>
    <xf numFmtId="0" fontId="77" fillId="0" borderId="12" xfId="0" applyFont="1" applyBorder="1" applyAlignment="1">
      <alignment horizontal="center" vertical="top"/>
    </xf>
    <xf numFmtId="0" fontId="77" fillId="2" borderId="12" xfId="0" applyFont="1" applyFill="1" applyBorder="1" applyAlignment="1">
      <alignment horizontal="center" vertical="top"/>
    </xf>
    <xf numFmtId="1" fontId="2" fillId="2" borderId="7" xfId="0" applyNumberFormat="1" applyFont="1" applyFill="1" applyBorder="1" applyAlignment="1">
      <alignment horizontal="center" vertical="top" wrapText="1"/>
    </xf>
    <xf numFmtId="1" fontId="76" fillId="2" borderId="7" xfId="0" applyNumberFormat="1" applyFont="1" applyFill="1" applyBorder="1" applyAlignment="1">
      <alignment horizontal="center" vertical="top" wrapText="1"/>
    </xf>
    <xf numFmtId="0" fontId="75" fillId="2" borderId="0" xfId="0" applyFont="1" applyFill="1" applyAlignment="1">
      <alignment horizontal="left" vertical="top"/>
    </xf>
    <xf numFmtId="43" fontId="75" fillId="2" borderId="0" xfId="2" applyFont="1" applyFill="1" applyAlignment="1">
      <alignment horizontal="left" vertical="top"/>
    </xf>
    <xf numFmtId="0" fontId="78" fillId="2" borderId="12" xfId="0" applyFont="1" applyFill="1" applyBorder="1" applyAlignment="1">
      <alignment horizontal="center" vertical="center"/>
    </xf>
    <xf numFmtId="1" fontId="76" fillId="0" borderId="8" xfId="0" applyNumberFormat="1" applyFont="1" applyBorder="1" applyAlignment="1">
      <alignment horizontal="center" vertical="top" shrinkToFit="1"/>
    </xf>
    <xf numFmtId="0" fontId="79" fillId="0" borderId="0" xfId="0" applyFont="1" applyAlignment="1">
      <alignment horizontal="left" vertical="top"/>
    </xf>
    <xf numFmtId="1" fontId="79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43" fontId="66" fillId="2" borderId="0" xfId="2" applyFont="1" applyFill="1" applyBorder="1" applyAlignment="1">
      <alignment horizontal="center" vertical="top"/>
    </xf>
    <xf numFmtId="0" fontId="10" fillId="2" borderId="4" xfId="0" applyFont="1" applyFill="1" applyBorder="1" applyAlignment="1">
      <alignment horizontal="center" vertical="top" wrapText="1"/>
    </xf>
    <xf numFmtId="1" fontId="8" fillId="2" borderId="24" xfId="0" applyNumberFormat="1" applyFont="1" applyFill="1" applyBorder="1" applyAlignment="1">
      <alignment horizontal="center" vertical="top" shrinkToFit="1"/>
    </xf>
    <xf numFmtId="1" fontId="11" fillId="2" borderId="18" xfId="0" applyNumberFormat="1" applyFont="1" applyFill="1" applyBorder="1" applyAlignment="1">
      <alignment horizontal="center" vertical="top" shrinkToFit="1"/>
    </xf>
    <xf numFmtId="0" fontId="10" fillId="2" borderId="18" xfId="0" applyFont="1" applyFill="1" applyBorder="1" applyAlignment="1">
      <alignment horizontal="center" vertical="top" wrapText="1"/>
    </xf>
    <xf numFmtId="1" fontId="9" fillId="2" borderId="4" xfId="0" applyNumberFormat="1" applyFont="1" applyFill="1" applyBorder="1" applyAlignment="1">
      <alignment horizontal="center" vertical="top" shrinkToFit="1"/>
    </xf>
    <xf numFmtId="1" fontId="8" fillId="2" borderId="4" xfId="0" applyNumberFormat="1" applyFont="1" applyFill="1" applyBorder="1" applyAlignment="1">
      <alignment horizontal="center" vertical="top" shrinkToFit="1"/>
    </xf>
    <xf numFmtId="1" fontId="12" fillId="2" borderId="18" xfId="0" applyNumberFormat="1" applyFont="1" applyFill="1" applyBorder="1" applyAlignment="1">
      <alignment horizontal="center" vertical="top" shrinkToFit="1"/>
    </xf>
    <xf numFmtId="0" fontId="10" fillId="2" borderId="9" xfId="0" applyFont="1" applyFill="1" applyBorder="1" applyAlignment="1">
      <alignment horizontal="center" vertical="top" wrapText="1"/>
    </xf>
    <xf numFmtId="0" fontId="8" fillId="2" borderId="7" xfId="0" applyFont="1" applyFill="1" applyBorder="1" applyAlignment="1">
      <alignment horizontal="left" vertical="top" wrapText="1"/>
    </xf>
    <xf numFmtId="1" fontId="20" fillId="2" borderId="7" xfId="0" applyNumberFormat="1" applyFont="1" applyFill="1" applyBorder="1" applyAlignment="1">
      <alignment horizontal="center" vertical="top" shrinkToFit="1"/>
    </xf>
    <xf numFmtId="1" fontId="25" fillId="2" borderId="8" xfId="0" applyNumberFormat="1" applyFont="1" applyFill="1" applyBorder="1" applyAlignment="1">
      <alignment horizontal="center" vertical="top" shrinkToFit="1"/>
    </xf>
    <xf numFmtId="0" fontId="8" fillId="2" borderId="7" xfId="0" applyFont="1" applyFill="1" applyBorder="1" applyAlignment="1">
      <alignment horizontal="center" vertical="top" wrapText="1"/>
    </xf>
    <xf numFmtId="1" fontId="35" fillId="2" borderId="8" xfId="0" applyNumberFormat="1" applyFont="1" applyFill="1" applyBorder="1" applyAlignment="1">
      <alignment horizontal="center" vertical="top" shrinkToFit="1"/>
    </xf>
    <xf numFmtId="1" fontId="11" fillId="2" borderId="8" xfId="0" applyNumberFormat="1" applyFont="1" applyFill="1" applyBorder="1" applyAlignment="1">
      <alignment horizontal="center" vertical="top" shrinkToFit="1"/>
    </xf>
    <xf numFmtId="1" fontId="8" fillId="2" borderId="8" xfId="0" applyNumberFormat="1" applyFont="1" applyFill="1" applyBorder="1" applyAlignment="1">
      <alignment horizontal="center" vertical="top" shrinkToFit="1"/>
    </xf>
    <xf numFmtId="1" fontId="34" fillId="2" borderId="7" xfId="0" applyNumberFormat="1" applyFont="1" applyFill="1" applyBorder="1" applyAlignment="1">
      <alignment horizontal="center" vertical="top" shrinkToFit="1"/>
    </xf>
    <xf numFmtId="1" fontId="29" fillId="2" borderId="8" xfId="0" applyNumberFormat="1" applyFont="1" applyFill="1" applyBorder="1" applyAlignment="1">
      <alignment horizontal="center" vertical="top" shrinkToFit="1"/>
    </xf>
    <xf numFmtId="1" fontId="23" fillId="2" borderId="8" xfId="0" applyNumberFormat="1" applyFont="1" applyFill="1" applyBorder="1" applyAlignment="1">
      <alignment horizontal="center" vertical="top" shrinkToFit="1"/>
    </xf>
    <xf numFmtId="1" fontId="27" fillId="2" borderId="8" xfId="0" applyNumberFormat="1" applyFont="1" applyFill="1" applyBorder="1" applyAlignment="1">
      <alignment horizontal="center" vertical="top" shrinkToFit="1"/>
    </xf>
    <xf numFmtId="0" fontId="8" fillId="2" borderId="10" xfId="0" applyFont="1" applyFill="1" applyBorder="1" applyAlignment="1">
      <alignment horizontal="center" vertical="top" wrapText="1"/>
    </xf>
    <xf numFmtId="1" fontId="29" fillId="2" borderId="26" xfId="0" applyNumberFormat="1" applyFont="1" applyFill="1" applyBorder="1" applyAlignment="1">
      <alignment horizontal="center" vertical="top" shrinkToFit="1"/>
    </xf>
    <xf numFmtId="0" fontId="8" fillId="2" borderId="11" xfId="0" applyFont="1" applyFill="1" applyBorder="1" applyAlignment="1">
      <alignment horizontal="center" vertical="top" wrapText="1"/>
    </xf>
    <xf numFmtId="0" fontId="10" fillId="2" borderId="2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center" vertical="top" wrapText="1"/>
    </xf>
    <xf numFmtId="1" fontId="35" fillId="2" borderId="7" xfId="0" applyNumberFormat="1" applyFont="1" applyFill="1" applyBorder="1" applyAlignment="1">
      <alignment horizontal="center" vertical="top" shrinkToFit="1"/>
    </xf>
    <xf numFmtId="0" fontId="8" fillId="2" borderId="9" xfId="0" applyFont="1" applyFill="1" applyBorder="1" applyAlignment="1">
      <alignment horizontal="center" vertical="top" wrapText="1"/>
    </xf>
    <xf numFmtId="1" fontId="11" fillId="2" borderId="7" xfId="0" applyNumberFormat="1" applyFont="1" applyFill="1" applyBorder="1" applyAlignment="1">
      <alignment horizontal="center" vertical="top" shrinkToFit="1"/>
    </xf>
    <xf numFmtId="0" fontId="8" fillId="2" borderId="14" xfId="0" applyFont="1" applyFill="1" applyBorder="1" applyAlignment="1">
      <alignment horizontal="center" vertical="top" wrapText="1"/>
    </xf>
    <xf numFmtId="1" fontId="34" fillId="2" borderId="4" xfId="0" applyNumberFormat="1" applyFont="1" applyFill="1" applyBorder="1" applyAlignment="1">
      <alignment horizontal="center" vertical="top" shrinkToFit="1"/>
    </xf>
    <xf numFmtId="1" fontId="35" fillId="2" borderId="4" xfId="0" applyNumberFormat="1" applyFont="1" applyFill="1" applyBorder="1" applyAlignment="1">
      <alignment horizontal="center" vertical="top" shrinkToFit="1"/>
    </xf>
    <xf numFmtId="1" fontId="29" fillId="2" borderId="18" xfId="0" applyNumberFormat="1" applyFont="1" applyFill="1" applyBorder="1" applyAlignment="1">
      <alignment horizontal="center" vertical="top" shrinkToFit="1"/>
    </xf>
    <xf numFmtId="0" fontId="10" fillId="2" borderId="4" xfId="0" applyFont="1" applyFill="1" applyBorder="1" applyAlignment="1">
      <alignment horizontal="left" vertical="top" wrapText="1"/>
    </xf>
    <xf numFmtId="1" fontId="20" fillId="2" borderId="18" xfId="0" applyNumberFormat="1" applyFont="1" applyFill="1" applyBorder="1" applyAlignment="1">
      <alignment horizontal="center" vertical="top" shrinkToFit="1"/>
    </xf>
    <xf numFmtId="1" fontId="29" fillId="2" borderId="7" xfId="0" applyNumberFormat="1" applyFont="1" applyFill="1" applyBorder="1" applyAlignment="1">
      <alignment horizontal="center" vertical="top" shrinkToFit="1"/>
    </xf>
    <xf numFmtId="1" fontId="42" fillId="2" borderId="7" xfId="0" applyNumberFormat="1" applyFont="1" applyFill="1" applyBorder="1" applyAlignment="1">
      <alignment horizontal="center" vertical="top" shrinkToFit="1"/>
    </xf>
    <xf numFmtId="1" fontId="20" fillId="2" borderId="8" xfId="0" applyNumberFormat="1" applyFont="1" applyFill="1" applyBorder="1" applyAlignment="1">
      <alignment horizontal="center" vertical="top" shrinkToFit="1"/>
    </xf>
    <xf numFmtId="0" fontId="8" fillId="2" borderId="18" xfId="0" applyFont="1" applyFill="1" applyBorder="1" applyAlignment="1">
      <alignment horizontal="center" vertical="top" wrapText="1"/>
    </xf>
    <xf numFmtId="0" fontId="13" fillId="2" borderId="14" xfId="0" applyFont="1" applyFill="1" applyBorder="1" applyAlignment="1">
      <alignment horizontal="center" vertical="top" wrapText="1"/>
    </xf>
    <xf numFmtId="1" fontId="27" fillId="2" borderId="18" xfId="0" applyNumberFormat="1" applyFont="1" applyFill="1" applyBorder="1" applyAlignment="1">
      <alignment horizontal="center" vertical="top" shrinkToFit="1"/>
    </xf>
    <xf numFmtId="1" fontId="13" fillId="2" borderId="4" xfId="0" applyNumberFormat="1" applyFont="1" applyFill="1" applyBorder="1" applyAlignment="1">
      <alignment horizontal="center" vertical="top" shrinkToFit="1"/>
    </xf>
    <xf numFmtId="1" fontId="14" fillId="2" borderId="18" xfId="0" applyNumberFormat="1" applyFont="1" applyFill="1" applyBorder="1" applyAlignment="1">
      <alignment horizontal="center" vertical="top" shrinkToFit="1"/>
    </xf>
    <xf numFmtId="0" fontId="10" fillId="2" borderId="7" xfId="0" applyFont="1" applyFill="1" applyBorder="1" applyAlignment="1">
      <alignment horizontal="left" vertical="top" wrapText="1"/>
    </xf>
    <xf numFmtId="1" fontId="17" fillId="2" borderId="7" xfId="0" applyNumberFormat="1" applyFont="1" applyFill="1" applyBorder="1" applyAlignment="1">
      <alignment horizontal="center" vertical="top" shrinkToFit="1"/>
    </xf>
    <xf numFmtId="1" fontId="32" fillId="2" borderId="7" xfId="0" applyNumberFormat="1" applyFont="1" applyFill="1" applyBorder="1" applyAlignment="1">
      <alignment horizontal="center" vertical="top" shrinkToFit="1"/>
    </xf>
    <xf numFmtId="0" fontId="8" fillId="3" borderId="12" xfId="0" applyFont="1" applyFill="1" applyBorder="1" applyAlignment="1">
      <alignment horizontal="center" vertical="top"/>
    </xf>
    <xf numFmtId="0" fontId="10" fillId="3" borderId="9" xfId="0" applyFont="1" applyFill="1" applyBorder="1" applyAlignment="1">
      <alignment horizontal="center" vertical="top" wrapText="1"/>
    </xf>
    <xf numFmtId="0" fontId="8" fillId="3" borderId="7" xfId="0" applyFont="1" applyFill="1" applyBorder="1" applyAlignment="1">
      <alignment horizontal="left" vertical="top" wrapText="1"/>
    </xf>
    <xf numFmtId="1" fontId="55" fillId="3" borderId="7" xfId="0" applyNumberFormat="1" applyFont="1" applyFill="1" applyBorder="1" applyAlignment="1">
      <alignment horizontal="center" vertical="top" shrinkToFit="1"/>
    </xf>
    <xf numFmtId="1" fontId="27" fillId="3" borderId="8" xfId="0" applyNumberFormat="1" applyFont="1" applyFill="1" applyBorder="1" applyAlignment="1">
      <alignment horizontal="center" vertical="top" shrinkToFit="1"/>
    </xf>
    <xf numFmtId="1" fontId="19" fillId="2" borderId="8" xfId="0" applyNumberFormat="1" applyFont="1" applyFill="1" applyBorder="1" applyAlignment="1">
      <alignment horizontal="center" vertical="top" shrinkToFit="1"/>
    </xf>
    <xf numFmtId="0" fontId="1" fillId="0" borderId="0" xfId="0" applyFont="1" applyAlignment="1">
      <alignment horizontal="center" vertical="center"/>
    </xf>
    <xf numFmtId="1" fontId="28" fillId="2" borderId="4" xfId="0" applyNumberFormat="1" applyFont="1" applyFill="1" applyBorder="1" applyAlignment="1">
      <alignment horizontal="center" vertical="top" shrinkToFit="1"/>
    </xf>
    <xf numFmtId="1" fontId="19" fillId="2" borderId="18" xfId="0" applyNumberFormat="1" applyFont="1" applyFill="1" applyBorder="1" applyAlignment="1">
      <alignment horizontal="center" vertical="top" shrinkToFit="1"/>
    </xf>
    <xf numFmtId="1" fontId="12" fillId="2" borderId="4" xfId="0" applyNumberFormat="1" applyFont="1" applyFill="1" applyBorder="1" applyAlignment="1">
      <alignment horizontal="center" vertical="top" shrinkToFit="1"/>
    </xf>
    <xf numFmtId="1" fontId="13" fillId="2" borderId="18" xfId="0" applyNumberFormat="1" applyFont="1" applyFill="1" applyBorder="1" applyAlignment="1">
      <alignment horizontal="center" vertical="top" shrinkToFit="1"/>
    </xf>
    <xf numFmtId="164" fontId="85" fillId="0" borderId="43" xfId="0" applyNumberFormat="1" applyFont="1" applyBorder="1" applyAlignment="1">
      <alignment horizontal="center" vertical="center" wrapText="1" shrinkToFit="1"/>
    </xf>
    <xf numFmtId="0" fontId="8" fillId="2" borderId="34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8" fillId="0" borderId="32" xfId="0" applyFont="1" applyBorder="1" applyAlignment="1">
      <alignment horizontal="center" vertical="top"/>
    </xf>
    <xf numFmtId="0" fontId="8" fillId="0" borderId="33" xfId="0" applyFont="1" applyBorder="1" applyAlignment="1">
      <alignment horizontal="center" vertical="top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 indent="5"/>
    </xf>
    <xf numFmtId="0" fontId="10" fillId="0" borderId="3" xfId="0" applyFont="1" applyBorder="1" applyAlignment="1">
      <alignment horizontal="left" vertical="top" wrapText="1" indent="5"/>
    </xf>
    <xf numFmtId="0" fontId="8" fillId="0" borderId="2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10" fillId="0" borderId="30" xfId="0" applyFont="1" applyBorder="1" applyAlignment="1">
      <alignment horizontal="center" vertical="top" wrapText="1"/>
    </xf>
    <xf numFmtId="0" fontId="10" fillId="0" borderId="31" xfId="0" applyFont="1" applyBorder="1" applyAlignment="1">
      <alignment horizontal="center" vertical="top" wrapText="1"/>
    </xf>
    <xf numFmtId="0" fontId="2" fillId="0" borderId="32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center" vertical="center" wrapText="1"/>
    </xf>
    <xf numFmtId="0" fontId="60" fillId="0" borderId="0" xfId="0" applyFont="1" applyAlignment="1">
      <alignment horizontal="center" vertical="top"/>
    </xf>
    <xf numFmtId="0" fontId="60" fillId="0" borderId="0" xfId="0" applyFont="1" applyAlignment="1">
      <alignment horizontal="center"/>
    </xf>
    <xf numFmtId="0" fontId="62" fillId="0" borderId="0" xfId="0" applyFont="1" applyAlignment="1">
      <alignment horizontal="left" vertical="top" wrapText="1"/>
    </xf>
    <xf numFmtId="0" fontId="63" fillId="0" borderId="0" xfId="0" applyFont="1" applyAlignment="1">
      <alignment vertical="top"/>
    </xf>
    <xf numFmtId="0" fontId="61" fillId="0" borderId="12" xfId="0" applyFont="1" applyBorder="1" applyAlignment="1">
      <alignment horizontal="center" vertical="center"/>
    </xf>
    <xf numFmtId="0" fontId="68" fillId="0" borderId="12" xfId="1" applyFont="1" applyBorder="1" applyAlignment="1">
      <alignment horizontal="center" vertical="center"/>
    </xf>
    <xf numFmtId="0" fontId="66" fillId="0" borderId="32" xfId="0" applyFont="1" applyBorder="1" applyAlignment="1">
      <alignment horizontal="center" vertical="top"/>
    </xf>
    <xf numFmtId="0" fontId="66" fillId="0" borderId="33" xfId="0" applyFont="1" applyBorder="1" applyAlignment="1">
      <alignment horizontal="center" vertical="top"/>
    </xf>
    <xf numFmtId="0" fontId="66" fillId="0" borderId="28" xfId="0" applyFont="1" applyBorder="1" applyAlignment="1">
      <alignment horizontal="center" vertical="center" wrapText="1"/>
    </xf>
    <xf numFmtId="0" fontId="66" fillId="0" borderId="2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5"/>
    </xf>
    <xf numFmtId="0" fontId="2" fillId="0" borderId="3" xfId="0" applyFont="1" applyBorder="1" applyAlignment="1">
      <alignment horizontal="left" vertical="top" wrapText="1" indent="5"/>
    </xf>
    <xf numFmtId="0" fontId="2" fillId="0" borderId="12" xfId="1" applyFont="1" applyBorder="1" applyAlignment="1">
      <alignment horizontal="center" vertical="center" wrapText="1"/>
    </xf>
    <xf numFmtId="0" fontId="74" fillId="0" borderId="3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top" wrapText="1"/>
    </xf>
    <xf numFmtId="0" fontId="8" fillId="3" borderId="34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left" vertical="top"/>
    </xf>
    <xf numFmtId="0" fontId="66" fillId="0" borderId="12" xfId="0" applyFont="1" applyBorder="1" applyAlignment="1">
      <alignment vertical="center" wrapText="1"/>
    </xf>
  </cellXfs>
  <cellStyles count="4">
    <cellStyle name="Comma" xfId="2" builtinId="3"/>
    <cellStyle name="Normal" xfId="0" builtinId="0"/>
    <cellStyle name="Normal 2" xfId="1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3"/>
  <sheetViews>
    <sheetView topLeftCell="D1" zoomScaleNormal="100" workbookViewId="0">
      <pane ySplit="4" topLeftCell="A5" activePane="bottomLeft" state="frozen"/>
      <selection pane="bottomLeft" activeCell="D35" sqref="D35"/>
    </sheetView>
  </sheetViews>
  <sheetFormatPr defaultColWidth="9.33203125" defaultRowHeight="12.75" x14ac:dyDescent="0.2"/>
  <cols>
    <col min="1" max="1" width="7.1640625" style="1" bestFit="1" customWidth="1"/>
    <col min="2" max="2" width="17.83203125" style="1" customWidth="1"/>
    <col min="3" max="3" width="39.1640625" style="1" customWidth="1"/>
    <col min="4" max="4" width="14" style="1" customWidth="1"/>
    <col min="5" max="5" width="15.83203125" style="1" customWidth="1"/>
    <col min="6" max="6" width="15.6640625" style="1" bestFit="1" customWidth="1"/>
    <col min="7" max="7" width="17" style="1" bestFit="1" customWidth="1"/>
    <col min="8" max="8" width="16" style="1" customWidth="1"/>
    <col min="9" max="9" width="15.83203125" style="1" customWidth="1"/>
    <col min="10" max="10" width="18.83203125" style="1" customWidth="1"/>
    <col min="11" max="11" width="14.1640625" style="1" customWidth="1"/>
    <col min="12" max="12" width="14" style="1" customWidth="1"/>
    <col min="13" max="13" width="10.6640625" style="1" bestFit="1" customWidth="1"/>
    <col min="14" max="16384" width="9.33203125" style="1"/>
  </cols>
  <sheetData>
    <row r="2" spans="1:15" ht="26.25" customHeight="1" x14ac:dyDescent="0.2">
      <c r="A2" s="244" t="s">
        <v>29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</row>
    <row r="3" spans="1:15" x14ac:dyDescent="0.2">
      <c r="A3" s="245" t="s">
        <v>0</v>
      </c>
      <c r="B3" s="247" t="s">
        <v>30</v>
      </c>
      <c r="C3" s="249" t="s">
        <v>31</v>
      </c>
      <c r="D3" s="251" t="s">
        <v>32</v>
      </c>
      <c r="E3" s="253" t="s">
        <v>1</v>
      </c>
      <c r="F3" s="255" t="s">
        <v>21</v>
      </c>
      <c r="G3" s="255" t="s">
        <v>22</v>
      </c>
      <c r="H3" s="255" t="s">
        <v>23</v>
      </c>
      <c r="I3" s="255" t="s">
        <v>24</v>
      </c>
      <c r="J3" s="255" t="s">
        <v>25</v>
      </c>
      <c r="K3" s="255" t="s">
        <v>26</v>
      </c>
      <c r="L3" s="255" t="s">
        <v>27</v>
      </c>
      <c r="M3" s="255" t="s">
        <v>28</v>
      </c>
    </row>
    <row r="4" spans="1:15" ht="34.5" customHeight="1" x14ac:dyDescent="0.2">
      <c r="A4" s="246"/>
      <c r="B4" s="248"/>
      <c r="C4" s="250"/>
      <c r="D4" s="252"/>
      <c r="E4" s="254"/>
      <c r="F4" s="256"/>
      <c r="G4" s="256"/>
      <c r="H4" s="256"/>
      <c r="I4" s="256"/>
      <c r="J4" s="256"/>
      <c r="K4" s="256"/>
      <c r="L4" s="256"/>
      <c r="M4" s="256"/>
    </row>
    <row r="5" spans="1:15" ht="45" x14ac:dyDescent="0.2">
      <c r="A5" s="10">
        <v>1</v>
      </c>
      <c r="B5" s="11" t="s">
        <v>33</v>
      </c>
      <c r="C5" s="12" t="s">
        <v>106</v>
      </c>
      <c r="D5" s="13">
        <v>2</v>
      </c>
      <c r="E5" s="14">
        <v>32</v>
      </c>
      <c r="F5" s="10">
        <v>6</v>
      </c>
      <c r="G5" s="10">
        <v>0</v>
      </c>
      <c r="H5" s="10">
        <f>1545+1490</f>
        <v>3035</v>
      </c>
      <c r="I5" s="10">
        <v>0</v>
      </c>
      <c r="J5" s="10">
        <v>32</v>
      </c>
      <c r="K5" s="10">
        <v>4</v>
      </c>
      <c r="L5" s="10">
        <v>32</v>
      </c>
      <c r="M5" s="10">
        <v>4</v>
      </c>
    </row>
    <row r="6" spans="1:15" ht="30" x14ac:dyDescent="0.2">
      <c r="A6" s="10">
        <v>2</v>
      </c>
      <c r="B6" s="11" t="s">
        <v>33</v>
      </c>
      <c r="C6" s="12" t="s">
        <v>107</v>
      </c>
      <c r="D6" s="15">
        <v>3</v>
      </c>
      <c r="E6" s="16">
        <v>48</v>
      </c>
      <c r="F6" s="10">
        <v>9</v>
      </c>
      <c r="G6" s="10">
        <v>0</v>
      </c>
      <c r="H6" s="10">
        <f>1475+1520+1490</f>
        <v>4485</v>
      </c>
      <c r="I6" s="10">
        <v>0</v>
      </c>
      <c r="J6" s="10">
        <v>48</v>
      </c>
      <c r="K6" s="10">
        <v>6</v>
      </c>
      <c r="L6" s="10">
        <v>48</v>
      </c>
      <c r="M6" s="10">
        <v>6</v>
      </c>
    </row>
    <row r="7" spans="1:15" ht="75" x14ac:dyDescent="0.2">
      <c r="A7" s="10">
        <v>3</v>
      </c>
      <c r="B7" s="11" t="s">
        <v>33</v>
      </c>
      <c r="C7" s="12" t="s">
        <v>108</v>
      </c>
      <c r="D7" s="13">
        <v>6</v>
      </c>
      <c r="E7" s="16">
        <v>96</v>
      </c>
      <c r="F7" s="10">
        <v>0</v>
      </c>
      <c r="G7" s="10">
        <v>6</v>
      </c>
      <c r="H7" s="10">
        <f>940+965+970+925+988+935</f>
        <v>5723</v>
      </c>
      <c r="I7" s="10">
        <v>6</v>
      </c>
      <c r="J7" s="10">
        <v>96</v>
      </c>
      <c r="K7" s="10">
        <v>96</v>
      </c>
      <c r="L7" s="10">
        <v>96</v>
      </c>
      <c r="M7" s="10">
        <v>6</v>
      </c>
    </row>
    <row r="8" spans="1:15" ht="75" x14ac:dyDescent="0.2">
      <c r="A8" s="10">
        <v>4</v>
      </c>
      <c r="B8" s="11" t="s">
        <v>33</v>
      </c>
      <c r="C8" s="12" t="s">
        <v>34</v>
      </c>
      <c r="D8" s="15">
        <v>1</v>
      </c>
      <c r="E8" s="17">
        <v>16</v>
      </c>
      <c r="F8" s="10">
        <v>3</v>
      </c>
      <c r="G8" s="10">
        <v>0</v>
      </c>
      <c r="H8" s="10">
        <f>382+395+378+384</f>
        <v>1539</v>
      </c>
      <c r="I8" s="10">
        <v>0</v>
      </c>
      <c r="J8" s="10">
        <v>16</v>
      </c>
      <c r="K8" s="10">
        <v>2</v>
      </c>
      <c r="L8" s="10">
        <v>16</v>
      </c>
      <c r="M8" s="10">
        <v>2</v>
      </c>
    </row>
    <row r="9" spans="1:15" ht="75" x14ac:dyDescent="0.2">
      <c r="A9" s="10">
        <v>5</v>
      </c>
      <c r="B9" s="11" t="s">
        <v>33</v>
      </c>
      <c r="C9" s="12" t="s">
        <v>109</v>
      </c>
      <c r="D9" s="15">
        <v>1</v>
      </c>
      <c r="E9" s="18">
        <v>16</v>
      </c>
      <c r="F9" s="10">
        <v>3</v>
      </c>
      <c r="G9" s="10">
        <v>0</v>
      </c>
      <c r="H9" s="10">
        <v>1580</v>
      </c>
      <c r="I9" s="10">
        <v>0</v>
      </c>
      <c r="J9" s="10">
        <v>16</v>
      </c>
      <c r="K9" s="10">
        <v>2</v>
      </c>
      <c r="L9" s="10">
        <v>16</v>
      </c>
      <c r="M9" s="10">
        <v>2</v>
      </c>
      <c r="O9" s="1" t="s">
        <v>152</v>
      </c>
    </row>
    <row r="10" spans="1:15" ht="75" x14ac:dyDescent="0.2">
      <c r="A10" s="10">
        <v>6</v>
      </c>
      <c r="B10" s="11" t="s">
        <v>33</v>
      </c>
      <c r="C10" s="12" t="s">
        <v>35</v>
      </c>
      <c r="D10" s="15">
        <v>1</v>
      </c>
      <c r="E10" s="19">
        <v>16</v>
      </c>
      <c r="F10" s="10">
        <v>3</v>
      </c>
      <c r="G10" s="10">
        <v>0</v>
      </c>
      <c r="H10" s="10">
        <v>1557</v>
      </c>
      <c r="I10" s="10">
        <v>0</v>
      </c>
      <c r="J10" s="10">
        <v>16</v>
      </c>
      <c r="K10" s="10">
        <v>2</v>
      </c>
      <c r="L10" s="10">
        <v>16</v>
      </c>
      <c r="M10" s="10">
        <v>2</v>
      </c>
    </row>
    <row r="11" spans="1:15" ht="45" x14ac:dyDescent="0.2">
      <c r="A11" s="10">
        <v>7</v>
      </c>
      <c r="B11" s="11" t="s">
        <v>33</v>
      </c>
      <c r="C11" s="12" t="s">
        <v>112</v>
      </c>
      <c r="D11" s="20">
        <v>1</v>
      </c>
      <c r="E11" s="14">
        <v>16</v>
      </c>
      <c r="F11" s="10">
        <v>3</v>
      </c>
      <c r="G11" s="10">
        <v>0</v>
      </c>
      <c r="H11" s="10">
        <v>1570</v>
      </c>
      <c r="I11" s="10">
        <v>0</v>
      </c>
      <c r="J11" s="10">
        <v>16</v>
      </c>
      <c r="K11" s="10">
        <v>2</v>
      </c>
      <c r="L11" s="10">
        <v>16</v>
      </c>
      <c r="M11" s="10">
        <v>2</v>
      </c>
    </row>
    <row r="12" spans="1:15" ht="60" x14ac:dyDescent="0.2">
      <c r="A12" s="10">
        <v>8</v>
      </c>
      <c r="B12" s="11" t="s">
        <v>33</v>
      </c>
      <c r="C12" s="12" t="s">
        <v>111</v>
      </c>
      <c r="D12" s="15">
        <v>1</v>
      </c>
      <c r="E12" s="19">
        <v>16</v>
      </c>
      <c r="F12" s="10">
        <v>3</v>
      </c>
      <c r="G12" s="10">
        <v>0</v>
      </c>
      <c r="H12" s="10">
        <f>390+385+378+389</f>
        <v>1542</v>
      </c>
      <c r="I12" s="10">
        <v>0</v>
      </c>
      <c r="J12" s="10">
        <v>16</v>
      </c>
      <c r="K12" s="10">
        <v>2</v>
      </c>
      <c r="L12" s="10">
        <v>16</v>
      </c>
      <c r="M12" s="10">
        <v>2</v>
      </c>
    </row>
    <row r="13" spans="1:15" ht="45" x14ac:dyDescent="0.2">
      <c r="A13" s="10">
        <v>9</v>
      </c>
      <c r="B13" s="11" t="s">
        <v>33</v>
      </c>
      <c r="C13" s="12" t="s">
        <v>113</v>
      </c>
      <c r="D13" s="15">
        <v>1</v>
      </c>
      <c r="E13" s="16">
        <v>16</v>
      </c>
      <c r="F13" s="10">
        <v>3</v>
      </c>
      <c r="G13" s="10">
        <v>0</v>
      </c>
      <c r="H13" s="10">
        <v>1560</v>
      </c>
      <c r="I13" s="10">
        <v>0</v>
      </c>
      <c r="J13" s="10">
        <v>16</v>
      </c>
      <c r="K13" s="10">
        <v>2</v>
      </c>
      <c r="L13" s="10">
        <v>16</v>
      </c>
      <c r="M13" s="10">
        <v>2</v>
      </c>
    </row>
    <row r="14" spans="1:15" ht="60" x14ac:dyDescent="0.2">
      <c r="A14" s="10">
        <v>10</v>
      </c>
      <c r="B14" s="11" t="s">
        <v>33</v>
      </c>
      <c r="C14" s="12" t="s">
        <v>36</v>
      </c>
      <c r="D14" s="21">
        <v>3</v>
      </c>
      <c r="E14" s="16">
        <v>48</v>
      </c>
      <c r="F14" s="10">
        <v>0</v>
      </c>
      <c r="G14" s="10">
        <v>3</v>
      </c>
      <c r="H14" s="10">
        <f>945+965+980</f>
        <v>2890</v>
      </c>
      <c r="I14" s="10">
        <v>3</v>
      </c>
      <c r="J14" s="10">
        <v>48</v>
      </c>
      <c r="K14" s="10">
        <v>48</v>
      </c>
      <c r="L14" s="10">
        <v>48</v>
      </c>
      <c r="M14" s="10">
        <v>3</v>
      </c>
    </row>
    <row r="15" spans="1:15" ht="60" x14ac:dyDescent="0.2">
      <c r="A15" s="10">
        <v>11</v>
      </c>
      <c r="B15" s="11" t="s">
        <v>33</v>
      </c>
      <c r="C15" s="12" t="s">
        <v>37</v>
      </c>
      <c r="D15" s="15">
        <v>1</v>
      </c>
      <c r="E15" s="18">
        <v>16</v>
      </c>
      <c r="F15" s="10">
        <v>3</v>
      </c>
      <c r="G15" s="10">
        <v>0</v>
      </c>
      <c r="H15" s="10">
        <v>1565</v>
      </c>
      <c r="I15" s="10">
        <v>0</v>
      </c>
      <c r="J15" s="10">
        <v>16</v>
      </c>
      <c r="K15" s="10">
        <v>2</v>
      </c>
      <c r="L15" s="10">
        <v>16</v>
      </c>
      <c r="M15" s="10">
        <v>2</v>
      </c>
    </row>
    <row r="16" spans="1:15" ht="45" x14ac:dyDescent="0.2">
      <c r="A16" s="10">
        <v>12</v>
      </c>
      <c r="B16" s="11" t="s">
        <v>38</v>
      </c>
      <c r="C16" s="12" t="s">
        <v>39</v>
      </c>
      <c r="D16" s="15">
        <v>1</v>
      </c>
      <c r="E16" s="16">
        <v>16</v>
      </c>
      <c r="F16" s="10">
        <v>3</v>
      </c>
      <c r="G16" s="10">
        <v>0</v>
      </c>
      <c r="H16" s="10">
        <f>840+750</f>
        <v>1590</v>
      </c>
      <c r="I16" s="10">
        <v>0</v>
      </c>
      <c r="J16" s="10">
        <v>16</v>
      </c>
      <c r="K16" s="10">
        <v>1</v>
      </c>
      <c r="L16" s="10">
        <v>16</v>
      </c>
      <c r="M16" s="10">
        <v>2</v>
      </c>
    </row>
    <row r="17" spans="1:13" ht="45" x14ac:dyDescent="0.2">
      <c r="A17" s="10">
        <v>13</v>
      </c>
      <c r="B17" s="11" t="s">
        <v>38</v>
      </c>
      <c r="C17" s="12" t="s">
        <v>40</v>
      </c>
      <c r="D17" s="15">
        <v>1</v>
      </c>
      <c r="E17" s="14">
        <v>16</v>
      </c>
      <c r="F17" s="10">
        <v>3</v>
      </c>
      <c r="G17" s="10">
        <v>0</v>
      </c>
      <c r="H17" s="10">
        <f>550+300+670</f>
        <v>1520</v>
      </c>
      <c r="I17" s="10">
        <v>0</v>
      </c>
      <c r="J17" s="10">
        <v>16</v>
      </c>
      <c r="K17" s="10">
        <v>0</v>
      </c>
      <c r="L17" s="10">
        <v>16</v>
      </c>
      <c r="M17" s="10">
        <v>3</v>
      </c>
    </row>
    <row r="18" spans="1:13" ht="45" x14ac:dyDescent="0.2">
      <c r="A18" s="10">
        <v>14</v>
      </c>
      <c r="B18" s="11" t="s">
        <v>41</v>
      </c>
      <c r="C18" s="12" t="s">
        <v>42</v>
      </c>
      <c r="D18" s="22">
        <v>8</v>
      </c>
      <c r="E18" s="23">
        <v>128</v>
      </c>
      <c r="F18" s="10">
        <v>8</v>
      </c>
      <c r="G18" s="10">
        <v>5</v>
      </c>
      <c r="H18" s="10">
        <f>450+400+390+410+430+420+385+420+850+120+130+415+390+375+350+290+280+450+480</f>
        <v>7435</v>
      </c>
      <c r="I18" s="10">
        <v>5</v>
      </c>
      <c r="J18" s="10">
        <v>128</v>
      </c>
      <c r="K18" s="10">
        <v>128</v>
      </c>
      <c r="L18" s="10">
        <v>128</v>
      </c>
      <c r="M18" s="10">
        <v>13</v>
      </c>
    </row>
    <row r="19" spans="1:13" ht="30" x14ac:dyDescent="0.2">
      <c r="A19" s="10">
        <v>15</v>
      </c>
      <c r="B19" s="11" t="s">
        <v>41</v>
      </c>
      <c r="C19" s="12" t="s">
        <v>156</v>
      </c>
      <c r="D19" s="15">
        <v>1</v>
      </c>
      <c r="E19" s="16">
        <v>16</v>
      </c>
      <c r="F19" s="10">
        <v>3</v>
      </c>
      <c r="G19" s="10">
        <v>0</v>
      </c>
      <c r="H19" s="10">
        <f>320+240+290+150+180+250+230</f>
        <v>1660</v>
      </c>
      <c r="I19" s="10">
        <v>0</v>
      </c>
      <c r="J19" s="10">
        <v>16</v>
      </c>
      <c r="K19" s="10">
        <v>0</v>
      </c>
      <c r="L19" s="10">
        <v>17</v>
      </c>
      <c r="M19" s="10">
        <v>3</v>
      </c>
    </row>
    <row r="20" spans="1:13" ht="30" x14ac:dyDescent="0.2">
      <c r="A20" s="10">
        <v>16</v>
      </c>
      <c r="B20" s="11" t="s">
        <v>41</v>
      </c>
      <c r="C20" s="24" t="s">
        <v>43</v>
      </c>
      <c r="D20" s="13">
        <v>2</v>
      </c>
      <c r="E20" s="25">
        <v>32</v>
      </c>
      <c r="F20" s="10">
        <v>6</v>
      </c>
      <c r="G20" s="10">
        <v>0</v>
      </c>
      <c r="H20" s="10">
        <f>100+250+200+150+200+210+220+260+210+140+250+250+210+230+100+200</f>
        <v>3180</v>
      </c>
      <c r="I20" s="10">
        <v>0</v>
      </c>
      <c r="J20" s="10">
        <v>32</v>
      </c>
      <c r="K20" s="10">
        <v>0</v>
      </c>
      <c r="L20" s="10">
        <v>34</v>
      </c>
      <c r="M20" s="10">
        <v>6</v>
      </c>
    </row>
    <row r="21" spans="1:13" ht="30" x14ac:dyDescent="0.2">
      <c r="A21" s="10">
        <v>17</v>
      </c>
      <c r="B21" s="11" t="s">
        <v>41</v>
      </c>
      <c r="C21" s="12" t="s">
        <v>44</v>
      </c>
      <c r="D21" s="13">
        <v>2</v>
      </c>
      <c r="E21" s="16">
        <v>32</v>
      </c>
      <c r="F21" s="10">
        <v>6</v>
      </c>
      <c r="G21" s="10">
        <v>0</v>
      </c>
      <c r="H21" s="10">
        <f>380+350+360+420+170+290+310+390+280+250</f>
        <v>3200</v>
      </c>
      <c r="I21" s="10">
        <v>0</v>
      </c>
      <c r="J21" s="10">
        <v>32</v>
      </c>
      <c r="K21" s="10">
        <v>0</v>
      </c>
      <c r="L21" s="10">
        <v>32</v>
      </c>
      <c r="M21" s="10">
        <v>6</v>
      </c>
    </row>
    <row r="22" spans="1:13" ht="60" x14ac:dyDescent="0.2">
      <c r="A22" s="10">
        <v>18</v>
      </c>
      <c r="B22" s="11" t="s">
        <v>41</v>
      </c>
      <c r="C22" s="12" t="s">
        <v>45</v>
      </c>
      <c r="D22" s="13">
        <v>2</v>
      </c>
      <c r="E22" s="16">
        <v>32</v>
      </c>
      <c r="F22" s="10">
        <v>6</v>
      </c>
      <c r="G22" s="10">
        <v>0</v>
      </c>
      <c r="H22" s="10">
        <f>100+280+320+220+150+100+190+180+150+290+350+160+160+180+200</f>
        <v>3030</v>
      </c>
      <c r="I22" s="10">
        <v>0</v>
      </c>
      <c r="J22" s="10">
        <v>32</v>
      </c>
      <c r="K22" s="10">
        <v>0</v>
      </c>
      <c r="L22" s="10">
        <v>32</v>
      </c>
      <c r="M22" s="10">
        <v>6</v>
      </c>
    </row>
    <row r="23" spans="1:13" ht="45" x14ac:dyDescent="0.2">
      <c r="A23" s="10">
        <v>19</v>
      </c>
      <c r="B23" s="11" t="s">
        <v>41</v>
      </c>
      <c r="C23" s="12" t="s">
        <v>114</v>
      </c>
      <c r="D23" s="15">
        <v>1</v>
      </c>
      <c r="E23" s="16">
        <v>16</v>
      </c>
      <c r="F23" s="10">
        <v>3</v>
      </c>
      <c r="G23" s="10">
        <v>0</v>
      </c>
      <c r="H23" s="10">
        <f>315+240+210+100+200+230+100+100+250</f>
        <v>1745</v>
      </c>
      <c r="I23" s="10">
        <v>0</v>
      </c>
      <c r="J23" s="10">
        <v>16</v>
      </c>
      <c r="K23" s="10">
        <v>0</v>
      </c>
      <c r="L23" s="10">
        <v>16</v>
      </c>
      <c r="M23" s="10">
        <v>3</v>
      </c>
    </row>
    <row r="24" spans="1:13" ht="60" x14ac:dyDescent="0.2">
      <c r="A24" s="10">
        <v>20</v>
      </c>
      <c r="B24" s="26" t="s">
        <v>2</v>
      </c>
      <c r="C24" s="12" t="s">
        <v>115</v>
      </c>
      <c r="D24" s="15">
        <v>1</v>
      </c>
      <c r="E24" s="27">
        <v>16</v>
      </c>
      <c r="F24" s="10">
        <v>3</v>
      </c>
      <c r="G24" s="10">
        <v>0</v>
      </c>
      <c r="H24" s="10">
        <f>45+45+81+75+79+81+85+87+90+73+83+77+20+65+69+45</f>
        <v>1100</v>
      </c>
      <c r="I24" s="10">
        <v>0</v>
      </c>
      <c r="J24" s="10">
        <v>16</v>
      </c>
      <c r="K24" s="10">
        <v>9</v>
      </c>
      <c r="L24" s="10">
        <v>16</v>
      </c>
      <c r="M24" s="10">
        <v>2</v>
      </c>
    </row>
    <row r="25" spans="1:13" ht="75" x14ac:dyDescent="0.2">
      <c r="A25" s="10">
        <v>21</v>
      </c>
      <c r="B25" s="7" t="s">
        <v>2</v>
      </c>
      <c r="C25" s="8" t="s">
        <v>46</v>
      </c>
      <c r="D25" s="9">
        <v>1</v>
      </c>
      <c r="E25" s="100">
        <v>16</v>
      </c>
      <c r="F25" s="241" t="s">
        <v>153</v>
      </c>
      <c r="G25" s="242"/>
      <c r="H25" s="242"/>
      <c r="I25" s="242"/>
      <c r="J25" s="242"/>
      <c r="K25" s="242"/>
      <c r="L25" s="242"/>
      <c r="M25" s="243"/>
    </row>
    <row r="26" spans="1:13" ht="60" x14ac:dyDescent="0.2">
      <c r="A26" s="10">
        <v>22</v>
      </c>
      <c r="B26" s="26" t="s">
        <v>2</v>
      </c>
      <c r="C26" s="12" t="s">
        <v>110</v>
      </c>
      <c r="D26" s="15">
        <v>1</v>
      </c>
      <c r="E26" s="16">
        <v>16</v>
      </c>
      <c r="F26" s="10">
        <v>3</v>
      </c>
      <c r="G26" s="10">
        <v>0</v>
      </c>
      <c r="H26" s="10">
        <f>245+265+270+235</f>
        <v>1015</v>
      </c>
      <c r="I26" s="10">
        <v>0</v>
      </c>
      <c r="J26" s="10">
        <v>16</v>
      </c>
      <c r="K26" s="10">
        <v>8</v>
      </c>
      <c r="L26" s="10">
        <v>16</v>
      </c>
      <c r="M26" s="10">
        <v>1</v>
      </c>
    </row>
    <row r="27" spans="1:13" ht="60" x14ac:dyDescent="0.2">
      <c r="A27" s="10">
        <v>23</v>
      </c>
      <c r="B27" s="26" t="s">
        <v>2</v>
      </c>
      <c r="C27" s="12" t="s">
        <v>159</v>
      </c>
      <c r="D27" s="15">
        <v>1</v>
      </c>
      <c r="E27" s="18">
        <v>16</v>
      </c>
      <c r="F27" s="10">
        <v>2</v>
      </c>
      <c r="G27" s="10">
        <v>0</v>
      </c>
      <c r="H27" s="10">
        <f>32+31+32+36+16+30+18+28+22+22</f>
        <v>267</v>
      </c>
      <c r="I27" s="10">
        <v>0</v>
      </c>
      <c r="J27" s="10">
        <v>10</v>
      </c>
      <c r="K27" s="10">
        <v>4</v>
      </c>
      <c r="L27" s="10">
        <v>10</v>
      </c>
      <c r="M27" s="10">
        <v>0</v>
      </c>
    </row>
    <row r="28" spans="1:13" ht="75" x14ac:dyDescent="0.2">
      <c r="A28" s="165">
        <v>24</v>
      </c>
      <c r="B28" s="7" t="s">
        <v>2</v>
      </c>
      <c r="C28" s="166" t="s">
        <v>47</v>
      </c>
      <c r="D28" s="167">
        <v>1</v>
      </c>
      <c r="E28" s="168">
        <v>16</v>
      </c>
      <c r="F28" s="165">
        <v>3</v>
      </c>
      <c r="G28" s="165">
        <v>0</v>
      </c>
      <c r="H28" s="165">
        <v>911</v>
      </c>
      <c r="I28" s="165">
        <v>0</v>
      </c>
      <c r="J28" s="165">
        <v>16</v>
      </c>
      <c r="K28" s="165">
        <v>9</v>
      </c>
      <c r="L28" s="165">
        <v>16</v>
      </c>
      <c r="M28" s="165">
        <v>1</v>
      </c>
    </row>
    <row r="29" spans="1:13" ht="30" x14ac:dyDescent="0.2">
      <c r="A29" s="10">
        <v>25</v>
      </c>
      <c r="B29" s="26" t="s">
        <v>48</v>
      </c>
      <c r="C29" s="28" t="s">
        <v>160</v>
      </c>
      <c r="D29" s="31">
        <v>8</v>
      </c>
      <c r="E29" s="32">
        <v>128</v>
      </c>
      <c r="F29" s="10">
        <v>0</v>
      </c>
      <c r="G29" s="10">
        <v>8</v>
      </c>
      <c r="H29" s="10">
        <f>1190+1200+1150+1250+1290+1120+1200+1200</f>
        <v>9600</v>
      </c>
      <c r="I29" s="10">
        <v>8</v>
      </c>
      <c r="J29" s="10">
        <v>128</v>
      </c>
      <c r="K29" s="10">
        <v>128</v>
      </c>
      <c r="L29" s="10">
        <v>136</v>
      </c>
      <c r="M29" s="10">
        <v>8</v>
      </c>
    </row>
    <row r="30" spans="1:13" ht="45" x14ac:dyDescent="0.2">
      <c r="A30" s="10">
        <v>26</v>
      </c>
      <c r="B30" s="26" t="s">
        <v>48</v>
      </c>
      <c r="C30" s="28" t="s">
        <v>154</v>
      </c>
      <c r="D30" s="33">
        <v>1</v>
      </c>
      <c r="E30" s="34">
        <v>16</v>
      </c>
      <c r="F30" s="10">
        <v>3</v>
      </c>
      <c r="G30" s="10">
        <v>0</v>
      </c>
      <c r="H30" s="10">
        <v>1020</v>
      </c>
      <c r="I30" s="10">
        <v>0</v>
      </c>
      <c r="J30" s="10">
        <v>16</v>
      </c>
      <c r="K30" s="10">
        <v>2</v>
      </c>
      <c r="L30" s="10">
        <v>17</v>
      </c>
      <c r="M30" s="10">
        <v>1</v>
      </c>
    </row>
    <row r="31" spans="1:13" ht="30" x14ac:dyDescent="0.2">
      <c r="A31" s="10">
        <v>27</v>
      </c>
      <c r="B31" s="26" t="s">
        <v>49</v>
      </c>
      <c r="C31" s="28" t="s">
        <v>116</v>
      </c>
      <c r="D31" s="35">
        <v>2</v>
      </c>
      <c r="E31" s="30">
        <v>32</v>
      </c>
      <c r="F31" s="10">
        <v>6</v>
      </c>
      <c r="G31" s="10">
        <v>0</v>
      </c>
      <c r="H31" s="10">
        <f>1390+1240+300</f>
        <v>2930</v>
      </c>
      <c r="I31" s="10">
        <v>0</v>
      </c>
      <c r="J31" s="10">
        <v>32</v>
      </c>
      <c r="K31" s="10">
        <v>4</v>
      </c>
      <c r="L31" s="10">
        <v>32</v>
      </c>
      <c r="M31" s="10">
        <v>2</v>
      </c>
    </row>
    <row r="32" spans="1:13" ht="75" x14ac:dyDescent="0.2">
      <c r="A32" s="10">
        <v>28</v>
      </c>
      <c r="B32" s="26" t="s">
        <v>3</v>
      </c>
      <c r="C32" s="28" t="s">
        <v>117</v>
      </c>
      <c r="D32" s="36">
        <v>6</v>
      </c>
      <c r="E32" s="37">
        <v>96</v>
      </c>
      <c r="F32" s="10">
        <v>1</v>
      </c>
      <c r="G32" s="10">
        <v>4</v>
      </c>
      <c r="H32" s="10">
        <v>5500</v>
      </c>
      <c r="I32" s="10">
        <v>4</v>
      </c>
      <c r="J32" s="10">
        <v>96</v>
      </c>
      <c r="K32" s="10">
        <v>98</v>
      </c>
      <c r="L32" s="10">
        <v>98</v>
      </c>
      <c r="M32" s="10">
        <v>4</v>
      </c>
    </row>
    <row r="33" spans="1:13" ht="60" x14ac:dyDescent="0.2">
      <c r="A33" s="10">
        <v>29</v>
      </c>
      <c r="B33" s="26" t="s">
        <v>50</v>
      </c>
      <c r="C33" s="28" t="s">
        <v>51</v>
      </c>
      <c r="D33" s="29">
        <v>1</v>
      </c>
      <c r="E33" s="30">
        <v>16</v>
      </c>
      <c r="F33" s="10">
        <v>3</v>
      </c>
      <c r="G33" s="10">
        <v>0</v>
      </c>
      <c r="H33" s="10">
        <f>286+260+286+250+100</f>
        <v>1182</v>
      </c>
      <c r="I33" s="10">
        <v>0</v>
      </c>
      <c r="J33" s="10">
        <v>16</v>
      </c>
      <c r="K33" s="10">
        <v>0</v>
      </c>
      <c r="L33" s="10">
        <v>19</v>
      </c>
      <c r="M33" s="10">
        <v>1</v>
      </c>
    </row>
    <row r="34" spans="1:13" ht="46.5" customHeight="1" x14ac:dyDescent="0.2">
      <c r="A34" s="10">
        <v>30</v>
      </c>
      <c r="B34" s="26" t="s">
        <v>50</v>
      </c>
      <c r="C34" s="28" t="s">
        <v>52</v>
      </c>
      <c r="D34" s="29">
        <v>1</v>
      </c>
      <c r="E34" s="30">
        <v>16</v>
      </c>
      <c r="F34" s="10">
        <v>3</v>
      </c>
      <c r="G34" s="10">
        <v>0</v>
      </c>
      <c r="H34" s="10">
        <v>1390</v>
      </c>
      <c r="I34" s="10">
        <v>0</v>
      </c>
      <c r="J34" s="10">
        <v>16</v>
      </c>
      <c r="K34" s="10">
        <v>3</v>
      </c>
      <c r="L34" s="10">
        <v>17</v>
      </c>
      <c r="M34" s="10">
        <v>1</v>
      </c>
    </row>
    <row r="35" spans="1:13" ht="45" x14ac:dyDescent="0.2">
      <c r="A35" s="10">
        <v>31</v>
      </c>
      <c r="B35" s="26" t="s">
        <v>3</v>
      </c>
      <c r="C35" s="28" t="s">
        <v>151</v>
      </c>
      <c r="D35" s="29">
        <v>1</v>
      </c>
      <c r="E35" s="38">
        <v>16</v>
      </c>
      <c r="F35" s="10">
        <v>3</v>
      </c>
      <c r="G35" s="10">
        <v>0</v>
      </c>
      <c r="H35" s="10">
        <f>178+102+168+110+117+127+68+78+170</f>
        <v>1118</v>
      </c>
      <c r="I35" s="10">
        <v>0</v>
      </c>
      <c r="J35" s="10">
        <v>16</v>
      </c>
      <c r="K35" s="10">
        <v>12</v>
      </c>
      <c r="L35" s="10">
        <v>20</v>
      </c>
      <c r="M35" s="10">
        <v>2</v>
      </c>
    </row>
    <row r="36" spans="1:13" ht="30" x14ac:dyDescent="0.2">
      <c r="A36" s="10">
        <v>32</v>
      </c>
      <c r="B36" s="26" t="s">
        <v>3</v>
      </c>
      <c r="C36" s="28" t="s">
        <v>53</v>
      </c>
      <c r="D36" s="39">
        <v>3</v>
      </c>
      <c r="E36" s="30">
        <v>48</v>
      </c>
      <c r="F36" s="10">
        <v>1</v>
      </c>
      <c r="G36" s="10">
        <v>2</v>
      </c>
      <c r="H36" s="10">
        <f>3480+305</f>
        <v>3785</v>
      </c>
      <c r="I36" s="10">
        <v>2</v>
      </c>
      <c r="J36" s="10">
        <v>48</v>
      </c>
      <c r="K36" s="10">
        <v>46</v>
      </c>
      <c r="L36" s="10">
        <v>48</v>
      </c>
      <c r="M36" s="10">
        <v>3</v>
      </c>
    </row>
    <row r="37" spans="1:13" ht="62.25" customHeight="1" x14ac:dyDescent="0.2">
      <c r="A37" s="10">
        <v>33</v>
      </c>
      <c r="B37" s="26" t="s">
        <v>3</v>
      </c>
      <c r="C37" s="28" t="s">
        <v>150</v>
      </c>
      <c r="D37" s="29">
        <v>1</v>
      </c>
      <c r="E37" s="40">
        <v>16</v>
      </c>
      <c r="F37" s="10">
        <v>3</v>
      </c>
      <c r="G37" s="10">
        <v>0</v>
      </c>
      <c r="H37" s="10">
        <v>1600</v>
      </c>
      <c r="I37" s="10">
        <v>0</v>
      </c>
      <c r="J37" s="10">
        <v>16</v>
      </c>
      <c r="K37" s="10">
        <v>3</v>
      </c>
      <c r="L37" s="10">
        <v>17</v>
      </c>
      <c r="M37" s="10">
        <v>1</v>
      </c>
    </row>
    <row r="38" spans="1:13" ht="45" x14ac:dyDescent="0.2">
      <c r="A38" s="10">
        <v>34</v>
      </c>
      <c r="B38" s="26" t="s">
        <v>3</v>
      </c>
      <c r="C38" s="28" t="s">
        <v>118</v>
      </c>
      <c r="D38" s="39">
        <v>1</v>
      </c>
      <c r="E38" s="41">
        <v>16</v>
      </c>
      <c r="F38" s="10">
        <v>3</v>
      </c>
      <c r="G38" s="10">
        <v>0</v>
      </c>
      <c r="H38" s="10">
        <f>180+190+210+140+150+70+90+100+90</f>
        <v>1220</v>
      </c>
      <c r="I38" s="10">
        <v>0</v>
      </c>
      <c r="J38" s="10">
        <v>16</v>
      </c>
      <c r="K38" s="10">
        <v>3</v>
      </c>
      <c r="L38" s="10">
        <v>17</v>
      </c>
      <c r="M38" s="10">
        <v>1</v>
      </c>
    </row>
    <row r="39" spans="1:13" ht="60" x14ac:dyDescent="0.2">
      <c r="A39" s="10">
        <v>35</v>
      </c>
      <c r="B39" s="26" t="s">
        <v>3</v>
      </c>
      <c r="C39" s="28" t="s">
        <v>119</v>
      </c>
      <c r="D39" s="42">
        <v>1</v>
      </c>
      <c r="E39" s="43">
        <v>16</v>
      </c>
      <c r="F39" s="10">
        <v>3</v>
      </c>
      <c r="G39" s="10">
        <v>0</v>
      </c>
      <c r="H39" s="10">
        <f>1470+90</f>
        <v>1560</v>
      </c>
      <c r="I39" s="10">
        <v>0</v>
      </c>
      <c r="J39" s="10">
        <v>16</v>
      </c>
      <c r="K39" s="10">
        <v>2</v>
      </c>
      <c r="L39" s="10">
        <v>16</v>
      </c>
      <c r="M39" s="10">
        <v>1</v>
      </c>
    </row>
    <row r="40" spans="1:13" ht="60" x14ac:dyDescent="0.2">
      <c r="A40" s="10">
        <v>36</v>
      </c>
      <c r="B40" s="26" t="s">
        <v>3</v>
      </c>
      <c r="C40" s="28" t="s">
        <v>120</v>
      </c>
      <c r="D40" s="44">
        <v>1</v>
      </c>
      <c r="E40" s="45">
        <v>16</v>
      </c>
      <c r="F40" s="10">
        <v>3</v>
      </c>
      <c r="G40" s="10">
        <v>0</v>
      </c>
      <c r="H40" s="10">
        <v>1150</v>
      </c>
      <c r="I40" s="10">
        <v>0</v>
      </c>
      <c r="J40" s="10">
        <v>16</v>
      </c>
      <c r="K40" s="10">
        <v>3</v>
      </c>
      <c r="L40" s="10">
        <v>17</v>
      </c>
      <c r="M40" s="10">
        <v>1</v>
      </c>
    </row>
    <row r="41" spans="1:13" ht="60" x14ac:dyDescent="0.2">
      <c r="A41" s="10">
        <v>37</v>
      </c>
      <c r="B41" s="26" t="s">
        <v>54</v>
      </c>
      <c r="C41" s="28" t="s">
        <v>121</v>
      </c>
      <c r="D41" s="29">
        <v>2</v>
      </c>
      <c r="E41" s="46">
        <v>32</v>
      </c>
      <c r="F41" s="10">
        <v>6</v>
      </c>
      <c r="G41" s="10">
        <v>0</v>
      </c>
      <c r="H41" s="10">
        <f>150+170+280+220+100+280+290+160+180+200+100+190+290+210+240+290+200+175</f>
        <v>3725</v>
      </c>
      <c r="I41" s="10">
        <v>0</v>
      </c>
      <c r="J41" s="10">
        <v>32</v>
      </c>
      <c r="K41" s="10">
        <v>0</v>
      </c>
      <c r="L41" s="10">
        <v>32</v>
      </c>
      <c r="M41" s="10">
        <v>6</v>
      </c>
    </row>
    <row r="42" spans="1:13" ht="30" x14ac:dyDescent="0.2">
      <c r="A42" s="10">
        <v>38</v>
      </c>
      <c r="B42" s="26" t="s">
        <v>4</v>
      </c>
      <c r="C42" s="28" t="s">
        <v>122</v>
      </c>
      <c r="D42" s="47">
        <v>2</v>
      </c>
      <c r="E42" s="48">
        <v>32</v>
      </c>
      <c r="F42" s="10">
        <v>6</v>
      </c>
      <c r="G42" s="10">
        <v>0</v>
      </c>
      <c r="H42" s="10">
        <f>750+300+250+150</f>
        <v>1450</v>
      </c>
      <c r="I42" s="10">
        <v>0</v>
      </c>
      <c r="J42" s="10">
        <v>32</v>
      </c>
      <c r="K42" s="10">
        <v>2</v>
      </c>
      <c r="L42" s="10">
        <v>32</v>
      </c>
      <c r="M42" s="10">
        <v>4</v>
      </c>
    </row>
    <row r="43" spans="1:13" ht="30" x14ac:dyDescent="0.2">
      <c r="A43" s="10">
        <v>39</v>
      </c>
      <c r="B43" s="26" t="s">
        <v>55</v>
      </c>
      <c r="C43" s="28" t="s">
        <v>56</v>
      </c>
      <c r="D43" s="29">
        <v>1</v>
      </c>
      <c r="E43" s="49">
        <v>16</v>
      </c>
      <c r="F43" s="10">
        <v>3</v>
      </c>
      <c r="G43" s="10">
        <v>0</v>
      </c>
      <c r="H43" s="10">
        <f>450+220+500</f>
        <v>1170</v>
      </c>
      <c r="I43" s="10">
        <v>0</v>
      </c>
      <c r="J43" s="10">
        <v>16</v>
      </c>
      <c r="K43" s="10">
        <v>1</v>
      </c>
      <c r="L43" s="10">
        <v>16</v>
      </c>
      <c r="M43" s="10">
        <v>2</v>
      </c>
    </row>
    <row r="44" spans="1:13" ht="30" x14ac:dyDescent="0.2">
      <c r="A44" s="10">
        <v>40</v>
      </c>
      <c r="B44" s="26" t="s">
        <v>57</v>
      </c>
      <c r="C44" s="50" t="s">
        <v>58</v>
      </c>
      <c r="D44" s="29">
        <v>5</v>
      </c>
      <c r="E44" s="51">
        <v>80</v>
      </c>
      <c r="F44" s="10">
        <v>8</v>
      </c>
      <c r="G44" s="10">
        <v>2</v>
      </c>
      <c r="H44" s="10">
        <f>2000+680+1800+1800+800</f>
        <v>7080</v>
      </c>
      <c r="I44" s="10">
        <v>2</v>
      </c>
      <c r="J44" s="10">
        <v>80</v>
      </c>
      <c r="K44" s="10">
        <v>59</v>
      </c>
      <c r="L44" s="10">
        <v>80</v>
      </c>
      <c r="M44" s="10">
        <v>7</v>
      </c>
    </row>
    <row r="45" spans="1:13" ht="30" x14ac:dyDescent="0.2">
      <c r="A45" s="10">
        <v>41</v>
      </c>
      <c r="B45" s="26" t="s">
        <v>5</v>
      </c>
      <c r="C45" s="28" t="s">
        <v>123</v>
      </c>
      <c r="D45" s="29">
        <v>2</v>
      </c>
      <c r="E45" s="52">
        <v>32</v>
      </c>
      <c r="F45" s="10">
        <v>6</v>
      </c>
      <c r="G45" s="10">
        <v>0</v>
      </c>
      <c r="H45" s="10">
        <f>325+380+290+360+340+390+330+285+190+380</f>
        <v>3270</v>
      </c>
      <c r="I45" s="10">
        <v>0</v>
      </c>
      <c r="J45" s="10">
        <v>32</v>
      </c>
      <c r="K45" s="10">
        <v>41</v>
      </c>
      <c r="L45" s="10">
        <v>56</v>
      </c>
      <c r="M45" s="10">
        <v>6</v>
      </c>
    </row>
    <row r="46" spans="1:13" ht="30" x14ac:dyDescent="0.2">
      <c r="A46" s="10">
        <v>42</v>
      </c>
      <c r="B46" s="26" t="s">
        <v>5</v>
      </c>
      <c r="C46" s="28" t="s">
        <v>59</v>
      </c>
      <c r="D46" s="29">
        <v>1</v>
      </c>
      <c r="E46" s="53">
        <v>16</v>
      </c>
      <c r="F46" s="10">
        <v>3</v>
      </c>
      <c r="G46" s="10">
        <v>0</v>
      </c>
      <c r="H46" s="10">
        <v>1450</v>
      </c>
      <c r="I46" s="10">
        <v>0</v>
      </c>
      <c r="J46" s="10">
        <v>16</v>
      </c>
      <c r="K46" s="10">
        <v>9</v>
      </c>
      <c r="L46" s="10">
        <v>24</v>
      </c>
      <c r="M46" s="10">
        <v>2</v>
      </c>
    </row>
    <row r="47" spans="1:13" ht="60" x14ac:dyDescent="0.2">
      <c r="A47" s="10">
        <v>43</v>
      </c>
      <c r="B47" s="26" t="s">
        <v>6</v>
      </c>
      <c r="C47" s="28" t="s">
        <v>60</v>
      </c>
      <c r="D47" s="29">
        <v>1</v>
      </c>
      <c r="E47" s="38">
        <v>16</v>
      </c>
      <c r="F47" s="10">
        <v>3</v>
      </c>
      <c r="G47" s="10">
        <v>0</v>
      </c>
      <c r="H47" s="10">
        <v>2550</v>
      </c>
      <c r="I47" s="10">
        <v>0</v>
      </c>
      <c r="J47" s="10">
        <v>16</v>
      </c>
      <c r="K47" s="10">
        <v>3</v>
      </c>
      <c r="L47" s="10">
        <v>16</v>
      </c>
      <c r="M47" s="10">
        <v>3</v>
      </c>
    </row>
    <row r="48" spans="1:13" ht="45" x14ac:dyDescent="0.2">
      <c r="A48" s="10">
        <v>44</v>
      </c>
      <c r="B48" s="26" t="s">
        <v>61</v>
      </c>
      <c r="C48" s="28" t="s">
        <v>124</v>
      </c>
      <c r="D48" s="54">
        <v>1</v>
      </c>
      <c r="E48" s="38">
        <v>16</v>
      </c>
      <c r="F48" s="10">
        <v>3</v>
      </c>
      <c r="G48" s="10">
        <v>0</v>
      </c>
      <c r="H48" s="10">
        <v>1150</v>
      </c>
      <c r="I48" s="10">
        <v>0</v>
      </c>
      <c r="J48" s="10">
        <v>16</v>
      </c>
      <c r="K48" s="10">
        <v>3</v>
      </c>
      <c r="L48" s="10">
        <v>16</v>
      </c>
      <c r="M48" s="10">
        <v>2</v>
      </c>
    </row>
    <row r="49" spans="1:13" ht="30" x14ac:dyDescent="0.2">
      <c r="A49" s="10">
        <v>45</v>
      </c>
      <c r="B49" s="26" t="s">
        <v>6</v>
      </c>
      <c r="C49" s="28" t="s">
        <v>62</v>
      </c>
      <c r="D49" s="55">
        <v>2</v>
      </c>
      <c r="E49" s="30">
        <v>32</v>
      </c>
      <c r="F49" s="10">
        <v>2</v>
      </c>
      <c r="G49" s="10">
        <v>1</v>
      </c>
      <c r="H49" s="10">
        <f>785+790</f>
        <v>1575</v>
      </c>
      <c r="I49" s="10">
        <v>1</v>
      </c>
      <c r="J49" s="10">
        <v>32</v>
      </c>
      <c r="K49" s="10">
        <v>29</v>
      </c>
      <c r="L49" s="10">
        <v>32</v>
      </c>
      <c r="M49" s="10">
        <v>2</v>
      </c>
    </row>
    <row r="50" spans="1:13" ht="45" x14ac:dyDescent="0.2">
      <c r="A50" s="10">
        <v>46</v>
      </c>
      <c r="B50" s="26" t="s">
        <v>63</v>
      </c>
      <c r="C50" s="28" t="s">
        <v>64</v>
      </c>
      <c r="D50" s="29">
        <v>1</v>
      </c>
      <c r="E50" s="56">
        <v>16</v>
      </c>
      <c r="F50" s="10">
        <v>3</v>
      </c>
      <c r="G50" s="10">
        <v>0</v>
      </c>
      <c r="H50" s="10">
        <v>2280</v>
      </c>
      <c r="I50" s="10">
        <v>0</v>
      </c>
      <c r="J50" s="10">
        <v>16</v>
      </c>
      <c r="K50" s="10">
        <v>4</v>
      </c>
      <c r="L50" s="10">
        <v>16</v>
      </c>
      <c r="M50" s="10">
        <v>1</v>
      </c>
    </row>
    <row r="51" spans="1:13" ht="45" x14ac:dyDescent="0.2">
      <c r="A51" s="10">
        <v>47</v>
      </c>
      <c r="B51" s="26" t="s">
        <v>65</v>
      </c>
      <c r="C51" s="28" t="s">
        <v>66</v>
      </c>
      <c r="D51" s="29">
        <v>1</v>
      </c>
      <c r="E51" s="37">
        <v>16</v>
      </c>
      <c r="F51" s="10">
        <v>3</v>
      </c>
      <c r="G51" s="10">
        <v>0</v>
      </c>
      <c r="H51" s="10">
        <v>1250</v>
      </c>
      <c r="I51" s="10">
        <v>0</v>
      </c>
      <c r="J51" s="10">
        <v>16</v>
      </c>
      <c r="K51" s="10">
        <v>3</v>
      </c>
      <c r="L51" s="10">
        <v>16</v>
      </c>
      <c r="M51" s="10">
        <v>2</v>
      </c>
    </row>
    <row r="52" spans="1:13" ht="30" x14ac:dyDescent="0.2">
      <c r="A52" s="10">
        <v>48</v>
      </c>
      <c r="B52" s="26" t="s">
        <v>6</v>
      </c>
      <c r="C52" s="28" t="s">
        <v>125</v>
      </c>
      <c r="D52" s="29">
        <v>1</v>
      </c>
      <c r="E52" s="30">
        <v>16</v>
      </c>
      <c r="F52" s="10">
        <v>3</v>
      </c>
      <c r="G52" s="10">
        <v>0</v>
      </c>
      <c r="H52" s="10">
        <v>1000</v>
      </c>
      <c r="I52" s="10">
        <v>0</v>
      </c>
      <c r="J52" s="10">
        <v>16</v>
      </c>
      <c r="K52" s="10">
        <v>3</v>
      </c>
      <c r="L52" s="10">
        <v>16</v>
      </c>
      <c r="M52" s="10">
        <v>2</v>
      </c>
    </row>
    <row r="53" spans="1:13" ht="45" x14ac:dyDescent="0.2">
      <c r="A53" s="10">
        <v>49</v>
      </c>
      <c r="B53" s="26" t="s">
        <v>6</v>
      </c>
      <c r="C53" s="28" t="s">
        <v>67</v>
      </c>
      <c r="D53" s="29">
        <v>1</v>
      </c>
      <c r="E53" s="38">
        <v>16</v>
      </c>
      <c r="F53" s="10">
        <v>3</v>
      </c>
      <c r="G53" s="10">
        <v>0</v>
      </c>
      <c r="H53" s="10">
        <v>1200</v>
      </c>
      <c r="I53" s="10">
        <v>0</v>
      </c>
      <c r="J53" s="10">
        <v>16</v>
      </c>
      <c r="K53" s="10">
        <v>3</v>
      </c>
      <c r="L53" s="10">
        <v>16</v>
      </c>
      <c r="M53" s="10">
        <v>3</v>
      </c>
    </row>
    <row r="54" spans="1:13" ht="45" x14ac:dyDescent="0.2">
      <c r="A54" s="10">
        <v>50</v>
      </c>
      <c r="B54" s="26" t="s">
        <v>7</v>
      </c>
      <c r="C54" s="28" t="s">
        <v>68</v>
      </c>
      <c r="D54" s="29">
        <v>4</v>
      </c>
      <c r="E54" s="30">
        <v>64</v>
      </c>
      <c r="F54" s="10">
        <v>1</v>
      </c>
      <c r="G54" s="10">
        <v>3</v>
      </c>
      <c r="H54" s="10">
        <f>472+362+435+418+455+443+416+315</f>
        <v>3316</v>
      </c>
      <c r="I54" s="10">
        <v>3</v>
      </c>
      <c r="J54" s="10">
        <v>64</v>
      </c>
      <c r="K54" s="10">
        <v>81</v>
      </c>
      <c r="L54" s="10">
        <v>64</v>
      </c>
      <c r="M54" s="10">
        <v>4</v>
      </c>
    </row>
    <row r="55" spans="1:13" ht="45" x14ac:dyDescent="0.2">
      <c r="A55" s="10">
        <v>51</v>
      </c>
      <c r="B55" s="26" t="s">
        <v>69</v>
      </c>
      <c r="C55" s="28" t="s">
        <v>70</v>
      </c>
      <c r="D55" s="57">
        <v>5</v>
      </c>
      <c r="E55" s="58">
        <v>80</v>
      </c>
      <c r="F55" s="10">
        <v>0</v>
      </c>
      <c r="G55" s="10">
        <v>5</v>
      </c>
      <c r="H55" s="10">
        <f>1060+960+1000+980+1080</f>
        <v>5080</v>
      </c>
      <c r="I55" s="10">
        <v>5</v>
      </c>
      <c r="J55" s="10">
        <v>80</v>
      </c>
      <c r="K55" s="10">
        <v>85</v>
      </c>
      <c r="L55" s="10">
        <v>80</v>
      </c>
      <c r="M55" s="10">
        <v>5</v>
      </c>
    </row>
    <row r="56" spans="1:13" ht="45" x14ac:dyDescent="0.2">
      <c r="A56" s="10">
        <v>52</v>
      </c>
      <c r="B56" s="26" t="s">
        <v>8</v>
      </c>
      <c r="C56" s="28" t="s">
        <v>71</v>
      </c>
      <c r="D56" s="35">
        <v>7</v>
      </c>
      <c r="E56" s="30">
        <v>112</v>
      </c>
      <c r="F56" s="10">
        <v>22</v>
      </c>
      <c r="G56" s="10">
        <v>0</v>
      </c>
      <c r="H56" s="10">
        <f>560+430+98+690+420+95+480+400+160+880+380+110+460+350+98+280</f>
        <v>5891</v>
      </c>
      <c r="I56" s="10">
        <v>0</v>
      </c>
      <c r="J56" s="10">
        <v>112</v>
      </c>
      <c r="K56" s="10">
        <v>0</v>
      </c>
      <c r="L56" s="10">
        <v>118</v>
      </c>
      <c r="M56" s="10">
        <v>6</v>
      </c>
    </row>
    <row r="57" spans="1:13" ht="15" x14ac:dyDescent="0.2">
      <c r="A57" s="10">
        <v>53</v>
      </c>
      <c r="B57" s="59" t="s">
        <v>20</v>
      </c>
      <c r="C57" s="28" t="s">
        <v>72</v>
      </c>
      <c r="D57" s="29">
        <v>1</v>
      </c>
      <c r="E57" s="53">
        <v>16</v>
      </c>
      <c r="F57" s="10">
        <v>3</v>
      </c>
      <c r="G57" s="10">
        <v>0</v>
      </c>
      <c r="H57" s="10">
        <f>114+134+94+78+130+110+70+61+56+54+135</f>
        <v>1036</v>
      </c>
      <c r="I57" s="10">
        <v>0</v>
      </c>
      <c r="J57" s="10">
        <v>16</v>
      </c>
      <c r="K57" s="10">
        <v>18</v>
      </c>
      <c r="L57" s="10">
        <v>16</v>
      </c>
      <c r="M57" s="10">
        <v>1</v>
      </c>
    </row>
    <row r="58" spans="1:13" ht="75" x14ac:dyDescent="0.2">
      <c r="A58" s="10">
        <v>54</v>
      </c>
      <c r="B58" s="26" t="s">
        <v>73</v>
      </c>
      <c r="C58" s="28" t="s">
        <v>126</v>
      </c>
      <c r="D58" s="29">
        <v>1</v>
      </c>
      <c r="E58" s="30">
        <v>16</v>
      </c>
      <c r="F58" s="10">
        <v>3</v>
      </c>
      <c r="G58" s="10">
        <v>0</v>
      </c>
      <c r="H58" s="10">
        <f>86+212+181+63+51+57+116+63+46+183</f>
        <v>1058</v>
      </c>
      <c r="I58" s="10">
        <v>0</v>
      </c>
      <c r="J58" s="10">
        <v>16</v>
      </c>
      <c r="K58" s="10">
        <v>12</v>
      </c>
      <c r="L58" s="10">
        <v>19</v>
      </c>
      <c r="M58" s="10">
        <v>2</v>
      </c>
    </row>
    <row r="59" spans="1:13" ht="60" x14ac:dyDescent="0.2">
      <c r="A59" s="10">
        <v>55</v>
      </c>
      <c r="B59" s="26" t="s">
        <v>9</v>
      </c>
      <c r="C59" s="28" t="s">
        <v>127</v>
      </c>
      <c r="D59" s="29">
        <v>1</v>
      </c>
      <c r="E59" s="30">
        <v>16</v>
      </c>
      <c r="F59" s="10">
        <v>3</v>
      </c>
      <c r="G59" s="10">
        <v>0</v>
      </c>
      <c r="H59" s="10">
        <f>270+95+140+100+250</f>
        <v>855</v>
      </c>
      <c r="I59" s="10">
        <v>0</v>
      </c>
      <c r="J59" s="10">
        <v>16</v>
      </c>
      <c r="K59" s="10">
        <v>6</v>
      </c>
      <c r="L59" s="10">
        <v>16</v>
      </c>
      <c r="M59" s="10">
        <v>1</v>
      </c>
    </row>
    <row r="60" spans="1:13" ht="30" x14ac:dyDescent="0.2">
      <c r="A60" s="10">
        <v>56</v>
      </c>
      <c r="B60" s="26" t="s">
        <v>10</v>
      </c>
      <c r="C60" s="28" t="s">
        <v>128</v>
      </c>
      <c r="D60" s="29">
        <v>1</v>
      </c>
      <c r="E60" s="37">
        <v>16</v>
      </c>
      <c r="F60" s="10">
        <v>3</v>
      </c>
      <c r="G60" s="10">
        <v>0</v>
      </c>
      <c r="H60" s="10">
        <v>1600</v>
      </c>
      <c r="I60" s="10">
        <v>0</v>
      </c>
      <c r="J60" s="10">
        <v>16</v>
      </c>
      <c r="K60" s="10">
        <v>1</v>
      </c>
      <c r="L60" s="10">
        <v>16</v>
      </c>
      <c r="M60" s="10">
        <v>2</v>
      </c>
    </row>
    <row r="61" spans="1:13" ht="60" x14ac:dyDescent="0.2">
      <c r="A61" s="10">
        <v>57</v>
      </c>
      <c r="B61" s="26" t="s">
        <v>10</v>
      </c>
      <c r="C61" s="28" t="s">
        <v>74</v>
      </c>
      <c r="D61" s="60">
        <v>1</v>
      </c>
      <c r="E61" s="37">
        <v>16</v>
      </c>
      <c r="F61" s="10">
        <v>3</v>
      </c>
      <c r="G61" s="10">
        <v>0</v>
      </c>
      <c r="H61" s="10">
        <v>1550</v>
      </c>
      <c r="I61" s="10">
        <v>0</v>
      </c>
      <c r="J61" s="10">
        <v>16</v>
      </c>
      <c r="K61" s="10">
        <v>1</v>
      </c>
      <c r="L61" s="10">
        <v>16</v>
      </c>
      <c r="M61" s="10">
        <v>2</v>
      </c>
    </row>
    <row r="62" spans="1:13" ht="60" x14ac:dyDescent="0.2">
      <c r="A62" s="10">
        <v>58</v>
      </c>
      <c r="B62" s="26" t="s">
        <v>11</v>
      </c>
      <c r="C62" s="28" t="s">
        <v>130</v>
      </c>
      <c r="D62" s="29">
        <v>1</v>
      </c>
      <c r="E62" s="61">
        <v>16</v>
      </c>
      <c r="F62" s="10">
        <v>4</v>
      </c>
      <c r="G62" s="10">
        <v>0</v>
      </c>
      <c r="H62" s="10">
        <f>360+400+410+540</f>
        <v>1710</v>
      </c>
      <c r="I62" s="10">
        <v>0</v>
      </c>
      <c r="J62" s="10">
        <v>16</v>
      </c>
      <c r="K62" s="10">
        <v>1</v>
      </c>
      <c r="L62" s="10">
        <v>16</v>
      </c>
      <c r="M62" s="10">
        <v>3</v>
      </c>
    </row>
    <row r="63" spans="1:13" ht="60" x14ac:dyDescent="0.2">
      <c r="A63" s="10">
        <v>59</v>
      </c>
      <c r="B63" s="26" t="s">
        <v>11</v>
      </c>
      <c r="C63" s="28" t="s">
        <v>129</v>
      </c>
      <c r="D63" s="29">
        <v>1</v>
      </c>
      <c r="E63" s="30">
        <v>16</v>
      </c>
      <c r="F63" s="10">
        <v>3</v>
      </c>
      <c r="G63" s="10">
        <v>0</v>
      </c>
      <c r="H63" s="10">
        <v>1304</v>
      </c>
      <c r="I63" s="10">
        <v>0</v>
      </c>
      <c r="J63" s="10">
        <v>16</v>
      </c>
      <c r="K63" s="10">
        <v>0</v>
      </c>
      <c r="L63" s="10">
        <v>16</v>
      </c>
      <c r="M63" s="10">
        <v>2</v>
      </c>
    </row>
    <row r="64" spans="1:13" ht="30" x14ac:dyDescent="0.2">
      <c r="A64" s="10">
        <v>60</v>
      </c>
      <c r="B64" s="26" t="s">
        <v>12</v>
      </c>
      <c r="C64" s="28" t="s">
        <v>131</v>
      </c>
      <c r="D64" s="39">
        <v>2</v>
      </c>
      <c r="E64" s="62">
        <v>32</v>
      </c>
      <c r="F64" s="10">
        <v>6</v>
      </c>
      <c r="G64" s="10">
        <v>0</v>
      </c>
      <c r="H64" s="10">
        <f>1210+1320+190</f>
        <v>2720</v>
      </c>
      <c r="I64" s="10">
        <v>0</v>
      </c>
      <c r="J64" s="10">
        <v>32</v>
      </c>
      <c r="K64" s="10">
        <v>6</v>
      </c>
      <c r="L64" s="10">
        <v>32</v>
      </c>
      <c r="M64" s="10">
        <v>2</v>
      </c>
    </row>
    <row r="65" spans="1:13" ht="30" x14ac:dyDescent="0.2">
      <c r="A65" s="10">
        <v>61</v>
      </c>
      <c r="B65" s="26" t="s">
        <v>12</v>
      </c>
      <c r="C65" s="28" t="s">
        <v>132</v>
      </c>
      <c r="D65" s="63">
        <v>3</v>
      </c>
      <c r="E65" s="52">
        <v>48</v>
      </c>
      <c r="F65" s="10">
        <v>1</v>
      </c>
      <c r="G65" s="10">
        <v>2</v>
      </c>
      <c r="H65" s="10">
        <f>1180+1370</f>
        <v>2550</v>
      </c>
      <c r="I65" s="10">
        <v>2</v>
      </c>
      <c r="J65" s="10">
        <v>48</v>
      </c>
      <c r="K65" s="10">
        <v>51</v>
      </c>
      <c r="L65" s="10">
        <v>48</v>
      </c>
      <c r="M65" s="10">
        <v>2</v>
      </c>
    </row>
    <row r="66" spans="1:13" ht="60" x14ac:dyDescent="0.2">
      <c r="A66" s="10">
        <v>62</v>
      </c>
      <c r="B66" s="26" t="s">
        <v>12</v>
      </c>
      <c r="C66" s="28" t="s">
        <v>133</v>
      </c>
      <c r="D66" s="29">
        <v>1</v>
      </c>
      <c r="E66" s="37">
        <v>16</v>
      </c>
      <c r="F66" s="10">
        <v>4</v>
      </c>
      <c r="G66" s="10">
        <v>0</v>
      </c>
      <c r="H66" s="10">
        <f>650+750</f>
        <v>1400</v>
      </c>
      <c r="I66" s="10">
        <v>0</v>
      </c>
      <c r="J66" s="10">
        <v>16</v>
      </c>
      <c r="K66" s="10">
        <v>4</v>
      </c>
      <c r="L66" s="10">
        <v>16</v>
      </c>
      <c r="M66" s="10">
        <v>2</v>
      </c>
    </row>
    <row r="67" spans="1:13" ht="45" x14ac:dyDescent="0.2">
      <c r="A67" s="10">
        <v>63</v>
      </c>
      <c r="B67" s="26" t="s">
        <v>13</v>
      </c>
      <c r="C67" s="50" t="s">
        <v>75</v>
      </c>
      <c r="D67" s="64">
        <v>1</v>
      </c>
      <c r="E67" s="65">
        <v>16</v>
      </c>
      <c r="F67" s="10">
        <v>3</v>
      </c>
      <c r="G67" s="10">
        <v>0</v>
      </c>
      <c r="H67" s="10">
        <f>120+180+150+88+135+90+190+120+400+150</f>
        <v>1623</v>
      </c>
      <c r="I67" s="10">
        <v>0</v>
      </c>
      <c r="J67" s="10">
        <v>16</v>
      </c>
      <c r="K67" s="10">
        <v>22</v>
      </c>
      <c r="L67" s="10">
        <v>16</v>
      </c>
      <c r="M67" s="10">
        <v>2</v>
      </c>
    </row>
    <row r="68" spans="1:13" ht="75" x14ac:dyDescent="0.2">
      <c r="A68" s="10">
        <v>64</v>
      </c>
      <c r="B68" s="26" t="s">
        <v>13</v>
      </c>
      <c r="C68" s="50" t="s">
        <v>155</v>
      </c>
      <c r="D68" s="29">
        <v>1</v>
      </c>
      <c r="E68" s="66">
        <v>16</v>
      </c>
      <c r="F68" s="10">
        <v>3</v>
      </c>
      <c r="G68" s="10">
        <v>0</v>
      </c>
      <c r="H68" s="10">
        <v>965</v>
      </c>
      <c r="I68" s="10">
        <v>0</v>
      </c>
      <c r="J68" s="10">
        <v>16</v>
      </c>
      <c r="K68" s="10">
        <v>6</v>
      </c>
      <c r="L68" s="10">
        <v>16</v>
      </c>
      <c r="M68" s="10">
        <v>0</v>
      </c>
    </row>
    <row r="69" spans="1:13" ht="45" x14ac:dyDescent="0.2">
      <c r="A69" s="10">
        <v>65</v>
      </c>
      <c r="B69" s="26" t="s">
        <v>14</v>
      </c>
      <c r="C69" s="28" t="s">
        <v>76</v>
      </c>
      <c r="D69" s="67">
        <v>6</v>
      </c>
      <c r="E69" s="58">
        <v>96</v>
      </c>
      <c r="F69" s="10">
        <v>3</v>
      </c>
      <c r="G69" s="10">
        <v>4</v>
      </c>
      <c r="H69" s="10">
        <f>364+413+552+613+715+588+666+418+490+470+660+65+45+110+70+175+240</f>
        <v>6654</v>
      </c>
      <c r="I69" s="10">
        <v>4</v>
      </c>
      <c r="J69" s="10">
        <v>96</v>
      </c>
      <c r="K69" s="10">
        <v>84</v>
      </c>
      <c r="L69" s="10">
        <v>96</v>
      </c>
      <c r="M69" s="10">
        <v>5</v>
      </c>
    </row>
    <row r="70" spans="1:13" ht="45" x14ac:dyDescent="0.2">
      <c r="A70" s="10">
        <v>66</v>
      </c>
      <c r="B70" s="26" t="s">
        <v>14</v>
      </c>
      <c r="C70" s="28" t="s">
        <v>134</v>
      </c>
      <c r="D70" s="29">
        <v>1</v>
      </c>
      <c r="E70" s="37">
        <v>16</v>
      </c>
      <c r="F70" s="10">
        <v>3</v>
      </c>
      <c r="G70" s="10">
        <v>0</v>
      </c>
      <c r="H70" s="10">
        <f>480+118+230+307+108+113+157</f>
        <v>1513</v>
      </c>
      <c r="I70" s="10">
        <v>0</v>
      </c>
      <c r="J70" s="10">
        <v>16</v>
      </c>
      <c r="K70" s="10">
        <v>2</v>
      </c>
      <c r="L70" s="10">
        <v>16</v>
      </c>
      <c r="M70" s="10">
        <v>1</v>
      </c>
    </row>
    <row r="71" spans="1:13" ht="45" x14ac:dyDescent="0.2">
      <c r="A71" s="10">
        <v>67</v>
      </c>
      <c r="B71" s="26" t="s">
        <v>14</v>
      </c>
      <c r="C71" s="28" t="s">
        <v>135</v>
      </c>
      <c r="D71" s="39">
        <v>2</v>
      </c>
      <c r="E71" s="30">
        <v>32</v>
      </c>
      <c r="F71" s="10">
        <v>2</v>
      </c>
      <c r="G71" s="10">
        <v>1</v>
      </c>
      <c r="H71" s="10">
        <f>650+680+660+98</f>
        <v>2088</v>
      </c>
      <c r="I71" s="10">
        <v>1</v>
      </c>
      <c r="J71" s="10">
        <v>32</v>
      </c>
      <c r="K71" s="10">
        <v>21</v>
      </c>
      <c r="L71" s="10">
        <v>35</v>
      </c>
      <c r="M71" s="10">
        <v>2</v>
      </c>
    </row>
    <row r="72" spans="1:13" ht="60" x14ac:dyDescent="0.2">
      <c r="A72" s="10">
        <v>68</v>
      </c>
      <c r="B72" s="26" t="s">
        <v>77</v>
      </c>
      <c r="C72" s="28" t="s">
        <v>136</v>
      </c>
      <c r="D72" s="29">
        <v>1</v>
      </c>
      <c r="E72" s="30">
        <v>16</v>
      </c>
      <c r="F72" s="10">
        <v>0</v>
      </c>
      <c r="G72" s="10">
        <v>1</v>
      </c>
      <c r="H72" s="10">
        <f>390+180+190+240</f>
        <v>1000</v>
      </c>
      <c r="I72" s="10">
        <v>1</v>
      </c>
      <c r="J72" s="10">
        <v>16</v>
      </c>
      <c r="K72" s="10">
        <v>17</v>
      </c>
      <c r="L72" s="10">
        <v>17</v>
      </c>
      <c r="M72" s="10">
        <v>1</v>
      </c>
    </row>
    <row r="73" spans="1:13" ht="30" x14ac:dyDescent="0.2">
      <c r="A73" s="10">
        <v>69</v>
      </c>
      <c r="B73" s="68" t="s">
        <v>78</v>
      </c>
      <c r="C73" s="28" t="s">
        <v>79</v>
      </c>
      <c r="D73" s="69">
        <v>2</v>
      </c>
      <c r="E73" s="38">
        <v>32</v>
      </c>
      <c r="F73" s="10">
        <v>2</v>
      </c>
      <c r="G73" s="10">
        <v>1</v>
      </c>
      <c r="H73" s="10">
        <f>170+200+340+365+234+198+170+90+55+135+105+40+100+180</f>
        <v>2382</v>
      </c>
      <c r="I73" s="10">
        <v>1</v>
      </c>
      <c r="J73" s="10">
        <v>32</v>
      </c>
      <c r="K73" s="10">
        <v>26</v>
      </c>
      <c r="L73" s="10">
        <v>32</v>
      </c>
      <c r="M73" s="10">
        <v>2</v>
      </c>
    </row>
    <row r="74" spans="1:13" ht="60" x14ac:dyDescent="0.2">
      <c r="A74" s="10">
        <v>70</v>
      </c>
      <c r="B74" s="26" t="s">
        <v>80</v>
      </c>
      <c r="C74" s="50" t="s">
        <v>81</v>
      </c>
      <c r="D74" s="70">
        <v>9</v>
      </c>
      <c r="E74" s="49">
        <v>144</v>
      </c>
      <c r="F74" s="10">
        <v>3</v>
      </c>
      <c r="G74" s="10">
        <v>7</v>
      </c>
      <c r="H74" s="10">
        <f>390+310+400+350+450+300+370+470+340+370+410+360+300+470+560+490+450+410</f>
        <v>7200</v>
      </c>
      <c r="I74" s="10">
        <v>7</v>
      </c>
      <c r="J74" s="10">
        <v>144</v>
      </c>
      <c r="K74" s="10">
        <v>147</v>
      </c>
      <c r="L74" s="10">
        <v>149</v>
      </c>
      <c r="M74" s="10">
        <v>8</v>
      </c>
    </row>
    <row r="75" spans="1:13" ht="60" x14ac:dyDescent="0.2">
      <c r="A75" s="10">
        <v>71</v>
      </c>
      <c r="B75" s="71" t="s">
        <v>82</v>
      </c>
      <c r="C75" s="72" t="s">
        <v>83</v>
      </c>
      <c r="D75" s="73">
        <v>1</v>
      </c>
      <c r="E75" s="74">
        <v>16</v>
      </c>
      <c r="F75" s="10">
        <v>3</v>
      </c>
      <c r="G75" s="10">
        <v>0</v>
      </c>
      <c r="H75" s="10">
        <f>238+39+28+64+80+45+50+55</f>
        <v>599</v>
      </c>
      <c r="I75" s="10">
        <v>0</v>
      </c>
      <c r="J75" s="10">
        <v>16</v>
      </c>
      <c r="K75" s="10">
        <v>3</v>
      </c>
      <c r="L75" s="10">
        <v>16</v>
      </c>
      <c r="M75" s="10">
        <v>1</v>
      </c>
    </row>
    <row r="76" spans="1:13" ht="30" x14ac:dyDescent="0.2">
      <c r="A76" s="10">
        <v>72</v>
      </c>
      <c r="B76" s="71" t="s">
        <v>84</v>
      </c>
      <c r="C76" s="72" t="s">
        <v>85</v>
      </c>
      <c r="D76" s="75">
        <v>1</v>
      </c>
      <c r="E76" s="76">
        <v>16</v>
      </c>
      <c r="F76" s="10">
        <v>3</v>
      </c>
      <c r="G76" s="10">
        <v>0</v>
      </c>
      <c r="H76" s="10">
        <f>179+110+121+173+35+180</f>
        <v>798</v>
      </c>
      <c r="I76" s="10">
        <v>0</v>
      </c>
      <c r="J76" s="10">
        <v>16</v>
      </c>
      <c r="K76" s="10">
        <v>0</v>
      </c>
      <c r="L76" s="10">
        <v>16</v>
      </c>
      <c r="M76" s="10">
        <v>1</v>
      </c>
    </row>
    <row r="77" spans="1:13" ht="45" x14ac:dyDescent="0.2">
      <c r="A77" s="10">
        <v>73</v>
      </c>
      <c r="B77" s="71" t="s">
        <v>15</v>
      </c>
      <c r="C77" s="72" t="s">
        <v>137</v>
      </c>
      <c r="D77" s="75">
        <v>1</v>
      </c>
      <c r="E77" s="77">
        <v>16</v>
      </c>
      <c r="F77" s="10">
        <v>3</v>
      </c>
      <c r="G77" s="10">
        <v>0</v>
      </c>
      <c r="H77" s="10">
        <f>190+270+88+67+60+117+155+280</f>
        <v>1227</v>
      </c>
      <c r="I77" s="10">
        <v>0</v>
      </c>
      <c r="J77" s="10">
        <v>16</v>
      </c>
      <c r="K77" s="10">
        <v>2</v>
      </c>
      <c r="L77" s="10">
        <v>16</v>
      </c>
      <c r="M77" s="10">
        <v>1</v>
      </c>
    </row>
    <row r="78" spans="1:13" ht="75" x14ac:dyDescent="0.2">
      <c r="A78" s="10">
        <v>74</v>
      </c>
      <c r="B78" s="71" t="s">
        <v>86</v>
      </c>
      <c r="C78" s="72" t="s">
        <v>87</v>
      </c>
      <c r="D78" s="75">
        <v>1</v>
      </c>
      <c r="E78" s="76">
        <v>16</v>
      </c>
      <c r="F78" s="10">
        <v>3</v>
      </c>
      <c r="G78" s="10">
        <v>0</v>
      </c>
      <c r="H78" s="10">
        <f>98+36+66+110+137+29+152+90</f>
        <v>718</v>
      </c>
      <c r="I78" s="10">
        <v>0</v>
      </c>
      <c r="J78" s="10">
        <v>16</v>
      </c>
      <c r="K78" s="10">
        <v>1</v>
      </c>
      <c r="L78" s="10">
        <v>16</v>
      </c>
      <c r="M78" s="10">
        <v>2</v>
      </c>
    </row>
    <row r="79" spans="1:13" ht="60" x14ac:dyDescent="0.2">
      <c r="A79" s="10">
        <v>75</v>
      </c>
      <c r="B79" s="71" t="s">
        <v>88</v>
      </c>
      <c r="C79" s="78" t="s">
        <v>89</v>
      </c>
      <c r="D79" s="75">
        <v>1</v>
      </c>
      <c r="E79" s="79">
        <v>16</v>
      </c>
      <c r="F79" s="10">
        <v>0</v>
      </c>
      <c r="G79" s="10">
        <v>1</v>
      </c>
      <c r="H79" s="10">
        <v>1027</v>
      </c>
      <c r="I79" s="10">
        <v>1</v>
      </c>
      <c r="J79" s="10">
        <v>16</v>
      </c>
      <c r="K79" s="10">
        <v>17</v>
      </c>
      <c r="L79" s="10">
        <v>16</v>
      </c>
      <c r="M79" s="10">
        <v>1</v>
      </c>
    </row>
    <row r="80" spans="1:13" ht="60" x14ac:dyDescent="0.2">
      <c r="A80" s="10">
        <v>76</v>
      </c>
      <c r="B80" s="71" t="s">
        <v>16</v>
      </c>
      <c r="C80" s="72" t="s">
        <v>138</v>
      </c>
      <c r="D80" s="75">
        <v>3</v>
      </c>
      <c r="E80" s="80">
        <v>48</v>
      </c>
      <c r="F80" s="10">
        <v>6</v>
      </c>
      <c r="G80" s="10">
        <v>1</v>
      </c>
      <c r="H80" s="10">
        <f>65+160+93+455+200+62+60+90+70+215+240+234+120+55+147+400</f>
        <v>2666</v>
      </c>
      <c r="I80" s="10">
        <v>1</v>
      </c>
      <c r="J80" s="10">
        <v>48</v>
      </c>
      <c r="K80" s="10">
        <v>18</v>
      </c>
      <c r="L80" s="10">
        <v>48</v>
      </c>
      <c r="M80" s="10">
        <v>5</v>
      </c>
    </row>
    <row r="81" spans="1:13" ht="60" x14ac:dyDescent="0.2">
      <c r="A81" s="10">
        <v>77</v>
      </c>
      <c r="B81" s="71" t="s">
        <v>16</v>
      </c>
      <c r="C81" s="72" t="s">
        <v>139</v>
      </c>
      <c r="D81" s="81">
        <v>2</v>
      </c>
      <c r="E81" s="80">
        <v>32</v>
      </c>
      <c r="F81" s="10">
        <v>4</v>
      </c>
      <c r="G81" s="10">
        <v>1</v>
      </c>
      <c r="H81" s="10">
        <f>434+88+149+35+333+79+42+55+120+40+90</f>
        <v>1465</v>
      </c>
      <c r="I81" s="10">
        <v>1</v>
      </c>
      <c r="J81" s="10">
        <v>32</v>
      </c>
      <c r="K81" s="10">
        <v>16</v>
      </c>
      <c r="L81" s="10">
        <v>32</v>
      </c>
      <c r="M81" s="10">
        <v>4</v>
      </c>
    </row>
    <row r="82" spans="1:13" ht="45" x14ac:dyDescent="0.2">
      <c r="A82" s="10">
        <v>78</v>
      </c>
      <c r="B82" s="82" t="s">
        <v>90</v>
      </c>
      <c r="C82" s="72" t="s">
        <v>161</v>
      </c>
      <c r="D82" s="75">
        <v>1</v>
      </c>
      <c r="E82" s="83">
        <v>16</v>
      </c>
      <c r="F82" s="10">
        <v>4</v>
      </c>
      <c r="G82" s="10">
        <v>0</v>
      </c>
      <c r="H82" s="10">
        <f>256+150+75+95+95+210+75+80+55+55+98</f>
        <v>1244</v>
      </c>
      <c r="I82" s="10">
        <v>0</v>
      </c>
      <c r="J82" s="10">
        <v>16</v>
      </c>
      <c r="K82" s="10">
        <v>2</v>
      </c>
      <c r="L82" s="10">
        <v>16</v>
      </c>
      <c r="M82" s="10">
        <v>2</v>
      </c>
    </row>
    <row r="83" spans="1:13" ht="45" x14ac:dyDescent="0.2">
      <c r="A83" s="10">
        <v>79</v>
      </c>
      <c r="B83" s="82" t="s">
        <v>91</v>
      </c>
      <c r="C83" s="72" t="s">
        <v>144</v>
      </c>
      <c r="D83" s="84">
        <v>1</v>
      </c>
      <c r="E83" s="80">
        <v>16</v>
      </c>
      <c r="F83" s="10">
        <v>3</v>
      </c>
      <c r="G83" s="10">
        <v>0</v>
      </c>
      <c r="H83" s="10">
        <f>117+65+163+90+138+70+25+62+18+157+55</f>
        <v>960</v>
      </c>
      <c r="I83" s="10">
        <v>0</v>
      </c>
      <c r="J83" s="10">
        <v>16</v>
      </c>
      <c r="K83" s="10">
        <v>2</v>
      </c>
      <c r="L83" s="10">
        <v>16</v>
      </c>
      <c r="M83" s="10">
        <v>1</v>
      </c>
    </row>
    <row r="84" spans="1:13" ht="45" x14ac:dyDescent="0.2">
      <c r="A84" s="10">
        <v>80</v>
      </c>
      <c r="B84" s="71" t="s">
        <v>17</v>
      </c>
      <c r="C84" s="72" t="s">
        <v>143</v>
      </c>
      <c r="D84" s="85">
        <v>1</v>
      </c>
      <c r="E84" s="74">
        <v>32</v>
      </c>
      <c r="F84" s="10">
        <v>7</v>
      </c>
      <c r="G84" s="10">
        <v>0</v>
      </c>
      <c r="H84" s="10">
        <f>290+210+200+300+150+200+160</f>
        <v>1510</v>
      </c>
      <c r="I84" s="10">
        <v>0</v>
      </c>
      <c r="J84" s="10">
        <v>32</v>
      </c>
      <c r="K84" s="10">
        <v>8</v>
      </c>
      <c r="L84" s="10">
        <v>32</v>
      </c>
      <c r="M84" s="10">
        <v>6</v>
      </c>
    </row>
    <row r="85" spans="1:13" ht="30" x14ac:dyDescent="0.2">
      <c r="A85" s="10">
        <v>81</v>
      </c>
      <c r="B85" s="71" t="s">
        <v>18</v>
      </c>
      <c r="C85" s="72" t="s">
        <v>142</v>
      </c>
      <c r="D85" s="75">
        <v>2</v>
      </c>
      <c r="E85" s="80">
        <v>16</v>
      </c>
      <c r="F85" s="10">
        <v>1</v>
      </c>
      <c r="G85" s="10">
        <v>1</v>
      </c>
      <c r="H85" s="10">
        <v>1034</v>
      </c>
      <c r="I85" s="10">
        <v>1</v>
      </c>
      <c r="J85" s="10">
        <v>16</v>
      </c>
      <c r="K85" s="10">
        <v>16</v>
      </c>
      <c r="L85" s="10">
        <v>16</v>
      </c>
      <c r="M85" s="10">
        <v>1</v>
      </c>
    </row>
    <row r="86" spans="1:13" ht="30" x14ac:dyDescent="0.2">
      <c r="A86" s="10">
        <v>82</v>
      </c>
      <c r="B86" s="71" t="s">
        <v>92</v>
      </c>
      <c r="C86" s="72" t="s">
        <v>141</v>
      </c>
      <c r="D86" s="86">
        <v>3</v>
      </c>
      <c r="E86" s="80">
        <v>48</v>
      </c>
      <c r="F86" s="10">
        <v>4</v>
      </c>
      <c r="G86" s="10">
        <v>2</v>
      </c>
      <c r="H86" s="10">
        <f>725+735+373+360+320+650+130</f>
        <v>3293</v>
      </c>
      <c r="I86" s="10">
        <v>2</v>
      </c>
      <c r="J86" s="10">
        <v>48</v>
      </c>
      <c r="K86" s="10">
        <v>30</v>
      </c>
      <c r="L86" s="10">
        <v>48</v>
      </c>
      <c r="M86" s="10">
        <v>4</v>
      </c>
    </row>
    <row r="87" spans="1:13" ht="30" x14ac:dyDescent="0.2">
      <c r="A87" s="10">
        <v>83</v>
      </c>
      <c r="B87" s="71" t="s">
        <v>93</v>
      </c>
      <c r="C87" s="72" t="s">
        <v>140</v>
      </c>
      <c r="D87" s="87">
        <v>1</v>
      </c>
      <c r="E87" s="88">
        <v>16</v>
      </c>
      <c r="F87" s="10">
        <v>0</v>
      </c>
      <c r="G87" s="10">
        <v>1</v>
      </c>
      <c r="H87" s="10">
        <v>1182</v>
      </c>
      <c r="I87" s="10">
        <v>1</v>
      </c>
      <c r="J87" s="10">
        <v>16</v>
      </c>
      <c r="K87" s="10">
        <v>17</v>
      </c>
      <c r="L87" s="10">
        <v>16</v>
      </c>
      <c r="M87" s="10">
        <v>1</v>
      </c>
    </row>
    <row r="88" spans="1:13" ht="90" x14ac:dyDescent="0.2">
      <c r="A88" s="10">
        <v>84</v>
      </c>
      <c r="B88" s="71" t="s">
        <v>94</v>
      </c>
      <c r="C88" s="72" t="s">
        <v>95</v>
      </c>
      <c r="D88" s="89">
        <v>1</v>
      </c>
      <c r="E88" s="80">
        <v>16</v>
      </c>
      <c r="F88" s="10">
        <v>3</v>
      </c>
      <c r="G88" s="10">
        <v>0</v>
      </c>
      <c r="H88" s="10">
        <f>50+40+50+50+50+40+40+60+70+70+50+50+60+70+90+90+100</f>
        <v>1030</v>
      </c>
      <c r="I88" s="10">
        <v>0</v>
      </c>
      <c r="J88" s="10">
        <v>16</v>
      </c>
      <c r="K88" s="10">
        <v>3</v>
      </c>
      <c r="L88" s="10">
        <v>16</v>
      </c>
      <c r="M88" s="10">
        <v>1</v>
      </c>
    </row>
    <row r="89" spans="1:13" ht="45" x14ac:dyDescent="0.2">
      <c r="A89" s="10">
        <v>85</v>
      </c>
      <c r="B89" s="71" t="s">
        <v>94</v>
      </c>
      <c r="C89" s="72" t="s">
        <v>145</v>
      </c>
      <c r="D89" s="90">
        <v>1</v>
      </c>
      <c r="E89" s="79">
        <v>16</v>
      </c>
      <c r="F89" s="10">
        <v>0</v>
      </c>
      <c r="G89" s="10">
        <v>1</v>
      </c>
      <c r="H89" s="10">
        <v>700</v>
      </c>
      <c r="I89" s="10">
        <v>1</v>
      </c>
      <c r="J89" s="10">
        <v>16</v>
      </c>
      <c r="K89" s="10">
        <v>17</v>
      </c>
      <c r="L89" s="10">
        <v>17</v>
      </c>
      <c r="M89" s="10">
        <v>1</v>
      </c>
    </row>
    <row r="90" spans="1:13" ht="45" x14ac:dyDescent="0.2">
      <c r="A90" s="10">
        <v>86</v>
      </c>
      <c r="B90" s="71" t="s">
        <v>19</v>
      </c>
      <c r="C90" s="72" t="s">
        <v>146</v>
      </c>
      <c r="D90" s="91">
        <v>2</v>
      </c>
      <c r="E90" s="80">
        <v>32</v>
      </c>
      <c r="F90" s="10">
        <v>7</v>
      </c>
      <c r="G90" s="10">
        <v>0</v>
      </c>
      <c r="H90" s="10">
        <f>480+390+380+420+385+320+390+450</f>
        <v>3215</v>
      </c>
      <c r="I90" s="10">
        <v>0</v>
      </c>
      <c r="J90" s="10">
        <v>32</v>
      </c>
      <c r="K90" s="10">
        <v>48</v>
      </c>
      <c r="L90" s="10">
        <v>44</v>
      </c>
      <c r="M90" s="10">
        <v>7</v>
      </c>
    </row>
    <row r="91" spans="1:13" ht="45" x14ac:dyDescent="0.2">
      <c r="A91" s="10">
        <v>87</v>
      </c>
      <c r="B91" s="71" t="s">
        <v>96</v>
      </c>
      <c r="C91" s="72" t="s">
        <v>147</v>
      </c>
      <c r="D91" s="73">
        <v>2</v>
      </c>
      <c r="E91" s="80">
        <v>32</v>
      </c>
      <c r="F91" s="10">
        <v>6</v>
      </c>
      <c r="G91" s="10">
        <v>0</v>
      </c>
      <c r="H91" s="10">
        <f>350+280+150+320+360+310+250+420+390+380</f>
        <v>3210</v>
      </c>
      <c r="I91" s="10">
        <v>0</v>
      </c>
      <c r="J91" s="10">
        <v>32</v>
      </c>
      <c r="K91" s="10">
        <v>0</v>
      </c>
      <c r="L91" s="10">
        <v>38</v>
      </c>
      <c r="M91" s="10">
        <v>6</v>
      </c>
    </row>
    <row r="92" spans="1:13" ht="60" x14ac:dyDescent="0.2">
      <c r="A92" s="10">
        <v>88</v>
      </c>
      <c r="B92" s="71" t="s">
        <v>97</v>
      </c>
      <c r="C92" s="72" t="s">
        <v>148</v>
      </c>
      <c r="D92" s="92">
        <v>3</v>
      </c>
      <c r="E92" s="83">
        <v>48</v>
      </c>
      <c r="F92" s="10">
        <v>3</v>
      </c>
      <c r="G92" s="10">
        <v>2</v>
      </c>
      <c r="H92" s="10">
        <f>120+130+150+100+115+250+160+210+150+260+250+290+210+220+280+250</f>
        <v>3145</v>
      </c>
      <c r="I92" s="10">
        <v>2</v>
      </c>
      <c r="J92" s="10">
        <v>48</v>
      </c>
      <c r="K92" s="10">
        <v>52</v>
      </c>
      <c r="L92" s="10">
        <v>53</v>
      </c>
      <c r="M92" s="10">
        <v>5</v>
      </c>
    </row>
    <row r="93" spans="1:13" ht="45" x14ac:dyDescent="0.2">
      <c r="A93" s="10">
        <v>89</v>
      </c>
      <c r="B93" s="71" t="s">
        <v>98</v>
      </c>
      <c r="C93" s="72" t="s">
        <v>99</v>
      </c>
      <c r="D93" s="75">
        <v>1</v>
      </c>
      <c r="E93" s="93">
        <v>16</v>
      </c>
      <c r="F93" s="10">
        <v>3</v>
      </c>
      <c r="G93" s="10">
        <v>0</v>
      </c>
      <c r="H93" s="10">
        <f>325+290+200+280+240+390</f>
        <v>1725</v>
      </c>
      <c r="I93" s="10">
        <v>0</v>
      </c>
      <c r="J93" s="10">
        <v>16</v>
      </c>
      <c r="K93" s="10">
        <v>0</v>
      </c>
      <c r="L93" s="10">
        <v>18</v>
      </c>
      <c r="M93" s="10">
        <v>3</v>
      </c>
    </row>
    <row r="94" spans="1:13" ht="30" x14ac:dyDescent="0.2">
      <c r="A94" s="10">
        <v>90</v>
      </c>
      <c r="B94" s="71" t="s">
        <v>100</v>
      </c>
      <c r="C94" s="72" t="s">
        <v>101</v>
      </c>
      <c r="D94" s="75">
        <v>1</v>
      </c>
      <c r="E94" s="79">
        <v>16</v>
      </c>
      <c r="F94" s="10">
        <v>3</v>
      </c>
      <c r="G94" s="10">
        <v>0</v>
      </c>
      <c r="H94" s="10">
        <f>570+450+600</f>
        <v>1620</v>
      </c>
      <c r="I94" s="10">
        <v>0</v>
      </c>
      <c r="J94" s="10">
        <v>16</v>
      </c>
      <c r="K94" s="10">
        <v>1</v>
      </c>
      <c r="L94" s="10">
        <v>16</v>
      </c>
      <c r="M94" s="10">
        <v>2</v>
      </c>
    </row>
    <row r="95" spans="1:13" ht="45" x14ac:dyDescent="0.2">
      <c r="A95" s="10">
        <v>91</v>
      </c>
      <c r="B95" s="71" t="s">
        <v>102</v>
      </c>
      <c r="C95" s="72" t="s">
        <v>149</v>
      </c>
      <c r="D95" s="94">
        <v>1</v>
      </c>
      <c r="E95" s="95">
        <v>16</v>
      </c>
      <c r="F95" s="10">
        <v>3</v>
      </c>
      <c r="G95" s="10">
        <v>0</v>
      </c>
      <c r="H95" s="10">
        <f>550+470+490</f>
        <v>1510</v>
      </c>
      <c r="I95" s="10">
        <v>0</v>
      </c>
      <c r="J95" s="10">
        <v>16</v>
      </c>
      <c r="K95" s="10">
        <v>0</v>
      </c>
      <c r="L95" s="10">
        <v>16</v>
      </c>
      <c r="M95" s="10">
        <v>3</v>
      </c>
    </row>
    <row r="96" spans="1:13" ht="60" x14ac:dyDescent="0.2">
      <c r="A96" s="10">
        <v>92</v>
      </c>
      <c r="B96" s="71" t="s">
        <v>103</v>
      </c>
      <c r="C96" s="72" t="s">
        <v>158</v>
      </c>
      <c r="D96" s="96">
        <v>1</v>
      </c>
      <c r="E96" s="97">
        <v>16</v>
      </c>
      <c r="F96" s="10">
        <v>3</v>
      </c>
      <c r="G96" s="10">
        <v>0</v>
      </c>
      <c r="H96" s="10">
        <f>870+700</f>
        <v>1570</v>
      </c>
      <c r="I96" s="10">
        <v>0</v>
      </c>
      <c r="J96" s="10">
        <v>16</v>
      </c>
      <c r="K96" s="10">
        <v>1</v>
      </c>
      <c r="L96" s="10">
        <v>16</v>
      </c>
      <c r="M96" s="10">
        <v>2</v>
      </c>
    </row>
    <row r="97" spans="1:13" ht="45" x14ac:dyDescent="0.2">
      <c r="A97" s="10">
        <v>93</v>
      </c>
      <c r="B97" s="71" t="s">
        <v>104</v>
      </c>
      <c r="C97" s="72" t="s">
        <v>157</v>
      </c>
      <c r="D97" s="81">
        <v>2</v>
      </c>
      <c r="E97" s="98">
        <v>32</v>
      </c>
      <c r="F97" s="10">
        <v>6</v>
      </c>
      <c r="G97" s="10">
        <v>0</v>
      </c>
      <c r="H97" s="10">
        <f>760+680+590+450+510</f>
        <v>2990</v>
      </c>
      <c r="I97" s="10">
        <v>0</v>
      </c>
      <c r="J97" s="10">
        <v>32</v>
      </c>
      <c r="K97" s="10">
        <v>1</v>
      </c>
      <c r="L97" s="10">
        <v>32</v>
      </c>
      <c r="M97" s="10">
        <v>5</v>
      </c>
    </row>
    <row r="98" spans="1:13" ht="60" x14ac:dyDescent="0.2">
      <c r="A98" s="10">
        <v>94</v>
      </c>
      <c r="B98" s="71" t="s">
        <v>104</v>
      </c>
      <c r="C98" s="72" t="s">
        <v>105</v>
      </c>
      <c r="D98" s="75">
        <v>1</v>
      </c>
      <c r="E98" s="99">
        <v>16</v>
      </c>
      <c r="F98" s="10">
        <v>3</v>
      </c>
      <c r="G98" s="10">
        <v>0</v>
      </c>
      <c r="H98" s="10">
        <f>570+440+550</f>
        <v>1560</v>
      </c>
      <c r="I98" s="10">
        <v>0</v>
      </c>
      <c r="J98" s="10">
        <v>16</v>
      </c>
      <c r="K98" s="10">
        <v>1</v>
      </c>
      <c r="L98" s="10">
        <v>16</v>
      </c>
      <c r="M98" s="10">
        <v>2</v>
      </c>
    </row>
    <row r="99" spans="1:13" ht="15" x14ac:dyDescent="0.25">
      <c r="A99" s="2"/>
      <c r="B99" s="3"/>
      <c r="C99" s="4"/>
      <c r="D99" s="5">
        <f>SUM(D5:D98)</f>
        <v>179</v>
      </c>
      <c r="E99" s="179">
        <f>SUM(E5:E98)</f>
        <v>2864</v>
      </c>
      <c r="F99" s="6">
        <f>SUM(F5:F98)</f>
        <v>325</v>
      </c>
      <c r="G99" s="6">
        <f t="shared" ref="G99:L99" si="0">SUM(G5:G98)</f>
        <v>65</v>
      </c>
      <c r="H99" s="6">
        <f t="shared" si="0"/>
        <v>208397</v>
      </c>
      <c r="I99" s="6">
        <f t="shared" si="0"/>
        <v>65</v>
      </c>
      <c r="J99" s="179">
        <f t="shared" si="0"/>
        <v>2842</v>
      </c>
      <c r="K99" s="6">
        <f t="shared" si="0"/>
        <v>1638</v>
      </c>
      <c r="L99" s="6">
        <f t="shared" si="0"/>
        <v>2943</v>
      </c>
      <c r="M99" s="125">
        <f>SUM(M5:M98)</f>
        <v>269</v>
      </c>
    </row>
    <row r="102" spans="1:13" x14ac:dyDescent="0.2">
      <c r="E102" s="164"/>
    </row>
    <row r="103" spans="1:13" x14ac:dyDescent="0.2">
      <c r="A103" s="180"/>
      <c r="B103" s="180" t="s">
        <v>251</v>
      </c>
      <c r="C103" s="180" t="s">
        <v>252</v>
      </c>
      <c r="D103" s="180"/>
      <c r="E103" s="180"/>
      <c r="F103" s="180"/>
      <c r="G103" s="180"/>
      <c r="H103" s="181">
        <f>E99-J99</f>
        <v>22</v>
      </c>
    </row>
  </sheetData>
  <autoFilter ref="A3:M99" xr:uid="{00000000-0009-0000-0000-000000000000}"/>
  <mergeCells count="15">
    <mergeCell ref="F25:M25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5"/>
  <sheetViews>
    <sheetView zoomScaleNormal="100" workbookViewId="0">
      <selection activeCell="N17" sqref="N17"/>
    </sheetView>
  </sheetViews>
  <sheetFormatPr defaultColWidth="10.6640625" defaultRowHeight="15.75" x14ac:dyDescent="0.25"/>
  <cols>
    <col min="1" max="1" width="7.83203125" style="101" customWidth="1"/>
    <col min="2" max="2" width="9.83203125" style="101" customWidth="1"/>
    <col min="3" max="3" width="55.33203125" style="101" customWidth="1"/>
    <col min="4" max="4" width="13" style="101" customWidth="1"/>
    <col min="5" max="5" width="7" style="101" customWidth="1"/>
    <col min="6" max="6" width="18.6640625" style="101" bestFit="1" customWidth="1"/>
    <col min="7" max="7" width="13.33203125" style="101" bestFit="1" customWidth="1"/>
    <col min="8" max="8" width="10.6640625" style="101"/>
    <col min="9" max="9" width="18.83203125" style="101" bestFit="1" customWidth="1"/>
    <col min="10" max="16384" width="10.6640625" style="101"/>
  </cols>
  <sheetData>
    <row r="2" spans="1:9" x14ac:dyDescent="0.25">
      <c r="A2" s="101" t="s">
        <v>162</v>
      </c>
    </row>
    <row r="3" spans="1:9" x14ac:dyDescent="0.25">
      <c r="A3" s="101" t="s">
        <v>163</v>
      </c>
      <c r="E3" s="101" t="s">
        <v>187</v>
      </c>
    </row>
    <row r="4" spans="1:9" x14ac:dyDescent="0.25">
      <c r="A4" s="101" t="s">
        <v>164</v>
      </c>
      <c r="E4" s="101" t="s">
        <v>247</v>
      </c>
    </row>
    <row r="6" spans="1:9" x14ac:dyDescent="0.25">
      <c r="A6" s="102"/>
      <c r="B6" s="103"/>
      <c r="E6" s="258"/>
      <c r="F6" s="258"/>
    </row>
    <row r="7" spans="1:9" ht="35.25" customHeight="1" x14ac:dyDescent="0.25">
      <c r="A7" s="259" t="s">
        <v>186</v>
      </c>
      <c r="B7" s="259"/>
      <c r="C7" s="259"/>
      <c r="D7" s="259"/>
      <c r="E7" s="259"/>
      <c r="F7" s="259"/>
    </row>
    <row r="8" spans="1:9" x14ac:dyDescent="0.25">
      <c r="A8" s="104"/>
      <c r="B8" s="104"/>
      <c r="C8" s="104"/>
      <c r="D8" s="104"/>
    </row>
    <row r="9" spans="1:9" x14ac:dyDescent="0.25">
      <c r="A9" s="260" t="s">
        <v>165</v>
      </c>
      <c r="B9" s="260"/>
      <c r="C9" s="260"/>
      <c r="D9" s="260"/>
    </row>
    <row r="10" spans="1:9" x14ac:dyDescent="0.25">
      <c r="A10" s="104"/>
      <c r="B10" s="104"/>
      <c r="C10" s="104"/>
      <c r="D10" s="104"/>
      <c r="E10" s="104"/>
      <c r="F10" s="104"/>
    </row>
    <row r="11" spans="1:9" x14ac:dyDescent="0.25">
      <c r="A11" s="105" t="s">
        <v>166</v>
      </c>
      <c r="B11" s="105" t="s">
        <v>167</v>
      </c>
      <c r="C11" s="105" t="s">
        <v>168</v>
      </c>
      <c r="D11" s="105" t="s">
        <v>169</v>
      </c>
      <c r="E11" s="105" t="s">
        <v>170</v>
      </c>
      <c r="F11" s="105" t="s">
        <v>171</v>
      </c>
    </row>
    <row r="12" spans="1:9" x14ac:dyDescent="0.25">
      <c r="A12" s="105"/>
      <c r="B12" s="105"/>
      <c r="C12" s="105"/>
      <c r="D12" s="105"/>
      <c r="E12" s="105"/>
      <c r="F12" s="105"/>
    </row>
    <row r="13" spans="1:9" ht="31.5" x14ac:dyDescent="0.25">
      <c r="A13" s="106">
        <v>1</v>
      </c>
      <c r="B13" s="106">
        <v>163</v>
      </c>
      <c r="C13" s="107" t="s">
        <v>172</v>
      </c>
      <c r="D13" s="108">
        <v>7993.56</v>
      </c>
      <c r="E13" s="109" t="s">
        <v>173</v>
      </c>
      <c r="F13" s="108">
        <f>B13*D13</f>
        <v>1302950.28</v>
      </c>
      <c r="H13" s="126"/>
      <c r="I13" s="127"/>
    </row>
    <row r="14" spans="1:9" ht="31.5" x14ac:dyDescent="0.25">
      <c r="A14" s="106">
        <v>2</v>
      </c>
      <c r="B14" s="106">
        <v>31</v>
      </c>
      <c r="C14" s="107" t="s">
        <v>174</v>
      </c>
      <c r="D14" s="108">
        <v>88441</v>
      </c>
      <c r="E14" s="109" t="s">
        <v>173</v>
      </c>
      <c r="F14" s="108">
        <f t="shared" ref="F14:F19" si="0">B14*D14</f>
        <v>2741671</v>
      </c>
      <c r="H14" s="126"/>
      <c r="I14" s="127"/>
    </row>
    <row r="15" spans="1:9" ht="31.5" x14ac:dyDescent="0.25">
      <c r="A15" s="106">
        <v>3</v>
      </c>
      <c r="B15" s="106">
        <v>112554</v>
      </c>
      <c r="C15" s="110" t="s">
        <v>175</v>
      </c>
      <c r="D15" s="108">
        <v>106.2</v>
      </c>
      <c r="E15" s="109" t="s">
        <v>176</v>
      </c>
      <c r="F15" s="108">
        <f t="shared" si="0"/>
        <v>11953234.800000001</v>
      </c>
      <c r="H15" s="126"/>
      <c r="I15" s="127"/>
    </row>
    <row r="16" spans="1:9" ht="31.5" x14ac:dyDescent="0.25">
      <c r="A16" s="106">
        <v>4</v>
      </c>
      <c r="B16" s="106">
        <v>31</v>
      </c>
      <c r="C16" s="107" t="s">
        <v>177</v>
      </c>
      <c r="D16" s="108">
        <v>5596.98</v>
      </c>
      <c r="E16" s="109" t="s">
        <v>173</v>
      </c>
      <c r="F16" s="108">
        <f t="shared" si="0"/>
        <v>173506.37999999998</v>
      </c>
      <c r="H16" s="126"/>
      <c r="I16" s="127"/>
    </row>
    <row r="17" spans="1:9" ht="47.25" x14ac:dyDescent="0.25">
      <c r="A17" s="106">
        <v>5</v>
      </c>
      <c r="B17" s="172">
        <v>1418</v>
      </c>
      <c r="C17" s="107" t="s">
        <v>178</v>
      </c>
      <c r="D17" s="108">
        <v>259.60000000000002</v>
      </c>
      <c r="E17" s="109" t="s">
        <v>173</v>
      </c>
      <c r="F17" s="108">
        <f t="shared" si="0"/>
        <v>368112.80000000005</v>
      </c>
      <c r="H17" s="126"/>
      <c r="I17" s="127"/>
    </row>
    <row r="18" spans="1:9" ht="31.5" x14ac:dyDescent="0.25">
      <c r="A18" s="106">
        <v>6</v>
      </c>
      <c r="B18" s="106">
        <v>785</v>
      </c>
      <c r="C18" s="107" t="s">
        <v>179</v>
      </c>
      <c r="D18" s="108">
        <v>141.6</v>
      </c>
      <c r="E18" s="109" t="s">
        <v>173</v>
      </c>
      <c r="F18" s="108">
        <f t="shared" si="0"/>
        <v>111156</v>
      </c>
      <c r="H18" s="126"/>
      <c r="I18" s="127"/>
    </row>
    <row r="19" spans="1:9" ht="31.5" x14ac:dyDescent="0.25">
      <c r="A19" s="106">
        <v>7</v>
      </c>
      <c r="B19" s="106">
        <v>1474</v>
      </c>
      <c r="C19" s="107" t="s">
        <v>180</v>
      </c>
      <c r="D19" s="108">
        <v>230.3</v>
      </c>
      <c r="E19" s="109" t="s">
        <v>173</v>
      </c>
      <c r="F19" s="108">
        <f t="shared" si="0"/>
        <v>339462.2</v>
      </c>
      <c r="H19" s="126"/>
      <c r="I19" s="127"/>
    </row>
    <row r="20" spans="1:9" ht="30" x14ac:dyDescent="0.25">
      <c r="A20" s="106">
        <v>8</v>
      </c>
      <c r="B20" s="106">
        <v>143</v>
      </c>
      <c r="C20" s="111" t="s">
        <v>181</v>
      </c>
      <c r="D20" s="108">
        <v>8230.77</v>
      </c>
      <c r="E20" s="109" t="s">
        <v>173</v>
      </c>
      <c r="F20" s="108">
        <f>B20*D20</f>
        <v>1177000.1100000001</v>
      </c>
      <c r="H20" s="126"/>
      <c r="I20" s="127"/>
    </row>
    <row r="21" spans="1:9" x14ac:dyDescent="0.25">
      <c r="A21" s="106"/>
      <c r="B21" s="106"/>
      <c r="C21" s="107"/>
      <c r="D21" s="109"/>
      <c r="E21" s="109"/>
      <c r="F21" s="109"/>
    </row>
    <row r="22" spans="1:9" x14ac:dyDescent="0.25">
      <c r="A22" s="106"/>
      <c r="B22" s="106"/>
      <c r="C22" s="111"/>
      <c r="D22" s="109"/>
      <c r="E22" s="109"/>
      <c r="F22" s="109"/>
    </row>
    <row r="23" spans="1:9" x14ac:dyDescent="0.25">
      <c r="A23" s="106"/>
      <c r="B23" s="106"/>
      <c r="C23" s="112"/>
      <c r="D23" s="109"/>
      <c r="E23" s="109"/>
      <c r="F23" s="109"/>
    </row>
    <row r="24" spans="1:9" x14ac:dyDescent="0.25">
      <c r="A24" s="106"/>
      <c r="B24" s="106"/>
      <c r="C24" s="113"/>
      <c r="D24" s="109"/>
      <c r="E24" s="109"/>
      <c r="F24" s="109"/>
    </row>
    <row r="25" spans="1:9" x14ac:dyDescent="0.25">
      <c r="A25" s="114"/>
      <c r="B25" s="114"/>
      <c r="C25" s="112"/>
      <c r="D25" s="261" t="s">
        <v>182</v>
      </c>
      <c r="E25" s="261"/>
      <c r="F25" s="115">
        <f>SUM(F13:F24)</f>
        <v>18167093.570000004</v>
      </c>
      <c r="G25" s="116"/>
      <c r="I25" s="127"/>
    </row>
    <row r="26" spans="1:9" x14ac:dyDescent="0.25">
      <c r="A26" s="117"/>
      <c r="B26" s="118"/>
      <c r="D26" s="119"/>
      <c r="E26" s="119"/>
      <c r="F26" s="120"/>
      <c r="G26" s="116"/>
    </row>
    <row r="27" spans="1:9" x14ac:dyDescent="0.25">
      <c r="A27" s="117"/>
      <c r="B27" s="121"/>
      <c r="D27" s="122"/>
      <c r="E27" s="121"/>
      <c r="F27" s="123"/>
    </row>
    <row r="28" spans="1:9" x14ac:dyDescent="0.25">
      <c r="A28" s="257" t="s">
        <v>183</v>
      </c>
      <c r="B28" s="257"/>
      <c r="E28" s="121"/>
      <c r="F28" s="123"/>
    </row>
    <row r="29" spans="1:9" x14ac:dyDescent="0.25">
      <c r="A29" s="257" t="s">
        <v>184</v>
      </c>
      <c r="B29" s="257"/>
      <c r="E29" s="121"/>
      <c r="F29" s="121"/>
    </row>
    <row r="30" spans="1:9" x14ac:dyDescent="0.25">
      <c r="A30" s="117"/>
      <c r="B30" s="121"/>
      <c r="E30" s="121"/>
      <c r="F30" s="121"/>
    </row>
    <row r="31" spans="1:9" x14ac:dyDescent="0.25">
      <c r="A31" s="117"/>
      <c r="B31" s="121"/>
      <c r="E31" s="121"/>
      <c r="F31" s="121"/>
    </row>
    <row r="32" spans="1:9" x14ac:dyDescent="0.25">
      <c r="A32" s="124"/>
      <c r="B32" s="103"/>
      <c r="E32" s="121"/>
      <c r="F32" s="121"/>
    </row>
    <row r="33" spans="1:6" x14ac:dyDescent="0.25">
      <c r="A33" s="101" t="s">
        <v>185</v>
      </c>
      <c r="E33" s="121"/>
      <c r="F33" s="121"/>
    </row>
    <row r="35" spans="1:6" x14ac:dyDescent="0.25">
      <c r="B35" s="103"/>
    </row>
  </sheetData>
  <mergeCells count="6">
    <mergeCell ref="A29:B29"/>
    <mergeCell ref="E6:F6"/>
    <mergeCell ref="A7:F7"/>
    <mergeCell ref="A9:D9"/>
    <mergeCell ref="D25:E25"/>
    <mergeCell ref="A28:B28"/>
  </mergeCells>
  <pageMargins left="0.70866141732283472" right="0.34" top="1.7322834645669292" bottom="0.74803149606299213" header="0.31496062992125984" footer="0.31496062992125984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topLeftCell="D1" zoomScaleNormal="100" workbookViewId="0">
      <pane ySplit="4" topLeftCell="A5" activePane="bottomLeft" state="frozen"/>
      <selection pane="bottomLeft" activeCell="K8" sqref="K8"/>
    </sheetView>
  </sheetViews>
  <sheetFormatPr defaultColWidth="9.33203125" defaultRowHeight="12.75" x14ac:dyDescent="0.2"/>
  <cols>
    <col min="1" max="1" width="9.33203125" style="131"/>
    <col min="2" max="2" width="17.5" style="131" customWidth="1"/>
    <col min="3" max="3" width="40.33203125" style="131" customWidth="1"/>
    <col min="4" max="4" width="22" style="131" customWidth="1"/>
    <col min="5" max="5" width="17.1640625" style="131" customWidth="1"/>
    <col min="6" max="7" width="16.6640625" style="131" bestFit="1" customWidth="1"/>
    <col min="8" max="8" width="18.83203125" style="131" bestFit="1" customWidth="1"/>
    <col min="9" max="9" width="17.6640625" style="131" customWidth="1"/>
    <col min="10" max="10" width="16" style="131" customWidth="1"/>
    <col min="11" max="12" width="15.33203125" style="131" bestFit="1" customWidth="1"/>
    <col min="13" max="13" width="19.33203125" style="131" customWidth="1"/>
    <col min="14" max="16384" width="9.33203125" style="131"/>
  </cols>
  <sheetData>
    <row r="1" spans="1:16" ht="18.75" x14ac:dyDescent="0.2">
      <c r="A1" s="262" t="s">
        <v>248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</row>
    <row r="2" spans="1:16" ht="56.25" customHeight="1" x14ac:dyDescent="0.2">
      <c r="A2" s="144" t="s">
        <v>188</v>
      </c>
      <c r="B2" s="145" t="s">
        <v>189</v>
      </c>
      <c r="C2" s="145" t="s">
        <v>190</v>
      </c>
      <c r="D2" s="146" t="s">
        <v>191</v>
      </c>
      <c r="E2" s="146" t="s">
        <v>192</v>
      </c>
      <c r="F2" s="147" t="s">
        <v>21</v>
      </c>
      <c r="G2" s="147" t="s">
        <v>22</v>
      </c>
      <c r="H2" s="148" t="s">
        <v>23</v>
      </c>
      <c r="I2" s="148" t="s">
        <v>24</v>
      </c>
      <c r="J2" s="148" t="s">
        <v>25</v>
      </c>
      <c r="K2" s="148" t="s">
        <v>26</v>
      </c>
      <c r="L2" s="148" t="s">
        <v>27</v>
      </c>
      <c r="M2" s="149" t="s">
        <v>28</v>
      </c>
    </row>
    <row r="3" spans="1:16" ht="30" x14ac:dyDescent="0.2">
      <c r="A3" s="132">
        <v>1</v>
      </c>
      <c r="B3" s="133" t="s">
        <v>193</v>
      </c>
      <c r="C3" s="134" t="s">
        <v>194</v>
      </c>
      <c r="D3" s="135">
        <v>2</v>
      </c>
      <c r="E3" s="135">
        <v>32</v>
      </c>
      <c r="F3" s="136">
        <v>6</v>
      </c>
      <c r="G3" s="135">
        <v>0</v>
      </c>
      <c r="H3" s="137">
        <v>3035</v>
      </c>
      <c r="I3" s="137">
        <v>0</v>
      </c>
      <c r="J3" s="137">
        <v>32</v>
      </c>
      <c r="K3" s="137">
        <v>4</v>
      </c>
      <c r="L3" s="137">
        <v>32</v>
      </c>
      <c r="M3" s="137">
        <v>4</v>
      </c>
    </row>
    <row r="4" spans="1:16" ht="30" x14ac:dyDescent="0.2">
      <c r="A4" s="132">
        <v>2</v>
      </c>
      <c r="B4" s="133" t="s">
        <v>193</v>
      </c>
      <c r="C4" s="134" t="s">
        <v>195</v>
      </c>
      <c r="D4" s="135">
        <v>3</v>
      </c>
      <c r="E4" s="135">
        <v>48</v>
      </c>
      <c r="F4" s="136">
        <v>9</v>
      </c>
      <c r="G4" s="135">
        <v>0</v>
      </c>
      <c r="H4" s="137">
        <v>4485</v>
      </c>
      <c r="I4" s="137">
        <v>0</v>
      </c>
      <c r="J4" s="137">
        <v>48</v>
      </c>
      <c r="K4" s="137">
        <v>6</v>
      </c>
      <c r="L4" s="137">
        <v>48</v>
      </c>
      <c r="M4" s="137">
        <v>6</v>
      </c>
    </row>
    <row r="5" spans="1:16" ht="75" x14ac:dyDescent="0.2">
      <c r="A5" s="132">
        <v>3</v>
      </c>
      <c r="B5" s="133" t="s">
        <v>193</v>
      </c>
      <c r="C5" s="134" t="s">
        <v>196</v>
      </c>
      <c r="D5" s="135">
        <v>6</v>
      </c>
      <c r="E5" s="135">
        <v>96</v>
      </c>
      <c r="F5" s="136">
        <v>0</v>
      </c>
      <c r="G5" s="135">
        <v>6</v>
      </c>
      <c r="H5" s="137">
        <v>5723</v>
      </c>
      <c r="I5" s="137">
        <v>6</v>
      </c>
      <c r="J5" s="137">
        <v>96</v>
      </c>
      <c r="K5" s="137">
        <v>96</v>
      </c>
      <c r="L5" s="137">
        <v>96</v>
      </c>
      <c r="M5" s="137">
        <v>6</v>
      </c>
      <c r="N5" s="131" t="s">
        <v>152</v>
      </c>
    </row>
    <row r="6" spans="1:16" ht="75" x14ac:dyDescent="0.2">
      <c r="A6" s="132">
        <v>4</v>
      </c>
      <c r="B6" s="133" t="s">
        <v>193</v>
      </c>
      <c r="C6" s="134" t="s">
        <v>197</v>
      </c>
      <c r="D6" s="135">
        <v>1</v>
      </c>
      <c r="E6" s="135">
        <v>16</v>
      </c>
      <c r="F6" s="136">
        <v>3</v>
      </c>
      <c r="G6" s="135">
        <v>0</v>
      </c>
      <c r="H6" s="137">
        <v>1539</v>
      </c>
      <c r="I6" s="137">
        <v>0</v>
      </c>
      <c r="J6" s="137">
        <v>16</v>
      </c>
      <c r="K6" s="137">
        <v>2</v>
      </c>
      <c r="L6" s="137">
        <v>16</v>
      </c>
      <c r="M6" s="137">
        <v>2</v>
      </c>
    </row>
    <row r="7" spans="1:16" ht="75" x14ac:dyDescent="0.2">
      <c r="A7" s="132">
        <v>5</v>
      </c>
      <c r="B7" s="133" t="s">
        <v>193</v>
      </c>
      <c r="C7" s="134" t="s">
        <v>198</v>
      </c>
      <c r="D7" s="135">
        <v>1</v>
      </c>
      <c r="E7" s="135">
        <v>16</v>
      </c>
      <c r="F7" s="136">
        <v>3</v>
      </c>
      <c r="G7" s="135">
        <v>0</v>
      </c>
      <c r="H7" s="137">
        <v>1580</v>
      </c>
      <c r="I7" s="137">
        <v>0</v>
      </c>
      <c r="J7" s="137">
        <v>16</v>
      </c>
      <c r="K7" s="137">
        <v>2</v>
      </c>
      <c r="L7" s="137">
        <v>16</v>
      </c>
      <c r="M7" s="137">
        <v>2</v>
      </c>
    </row>
    <row r="8" spans="1:16" ht="75" x14ac:dyDescent="0.2">
      <c r="A8" s="132">
        <v>6</v>
      </c>
      <c r="B8" s="133" t="s">
        <v>193</v>
      </c>
      <c r="C8" s="134" t="s">
        <v>199</v>
      </c>
      <c r="D8" s="135">
        <v>1</v>
      </c>
      <c r="E8" s="135">
        <v>16</v>
      </c>
      <c r="F8" s="136">
        <v>3</v>
      </c>
      <c r="G8" s="135">
        <v>0</v>
      </c>
      <c r="H8" s="137">
        <v>1557</v>
      </c>
      <c r="I8" s="137">
        <v>0</v>
      </c>
      <c r="J8" s="137">
        <v>16</v>
      </c>
      <c r="K8" s="137">
        <v>2</v>
      </c>
      <c r="L8" s="137">
        <v>16</v>
      </c>
      <c r="M8" s="137">
        <v>2</v>
      </c>
    </row>
    <row r="9" spans="1:16" ht="45" x14ac:dyDescent="0.2">
      <c r="A9" s="132">
        <v>7</v>
      </c>
      <c r="B9" s="133" t="s">
        <v>193</v>
      </c>
      <c r="C9" s="134" t="s">
        <v>200</v>
      </c>
      <c r="D9" s="135">
        <v>1</v>
      </c>
      <c r="E9" s="135">
        <v>16</v>
      </c>
      <c r="F9" s="136">
        <v>3</v>
      </c>
      <c r="G9" s="135">
        <v>0</v>
      </c>
      <c r="H9" s="137">
        <v>1570</v>
      </c>
      <c r="I9" s="137">
        <v>0</v>
      </c>
      <c r="J9" s="137">
        <v>16</v>
      </c>
      <c r="K9" s="137">
        <v>2</v>
      </c>
      <c r="L9" s="137">
        <v>16</v>
      </c>
      <c r="M9" s="137">
        <v>2</v>
      </c>
    </row>
    <row r="10" spans="1:16" ht="45" x14ac:dyDescent="0.2">
      <c r="A10" s="132">
        <v>8</v>
      </c>
      <c r="B10" s="133" t="s">
        <v>193</v>
      </c>
      <c r="C10" s="134" t="s">
        <v>201</v>
      </c>
      <c r="D10" s="135">
        <v>1</v>
      </c>
      <c r="E10" s="135">
        <v>16</v>
      </c>
      <c r="F10" s="136">
        <v>3</v>
      </c>
      <c r="G10" s="135">
        <v>0</v>
      </c>
      <c r="H10" s="137">
        <v>1542</v>
      </c>
      <c r="I10" s="137">
        <v>0</v>
      </c>
      <c r="J10" s="137">
        <v>16</v>
      </c>
      <c r="K10" s="137">
        <v>2</v>
      </c>
      <c r="L10" s="137">
        <v>16</v>
      </c>
      <c r="M10" s="137">
        <v>2</v>
      </c>
    </row>
    <row r="11" spans="1:16" ht="45" x14ac:dyDescent="0.2">
      <c r="A11" s="132">
        <v>9</v>
      </c>
      <c r="B11" s="133" t="s">
        <v>193</v>
      </c>
      <c r="C11" s="134" t="s">
        <v>202</v>
      </c>
      <c r="D11" s="135">
        <v>1</v>
      </c>
      <c r="E11" s="135">
        <v>16</v>
      </c>
      <c r="F11" s="136">
        <v>3</v>
      </c>
      <c r="G11" s="135">
        <v>0</v>
      </c>
      <c r="H11" s="137">
        <v>1560</v>
      </c>
      <c r="I11" s="137">
        <v>0</v>
      </c>
      <c r="J11" s="137">
        <v>16</v>
      </c>
      <c r="K11" s="137">
        <v>2</v>
      </c>
      <c r="L11" s="137">
        <v>16</v>
      </c>
      <c r="M11" s="137">
        <v>2</v>
      </c>
    </row>
    <row r="12" spans="1:16" ht="45" x14ac:dyDescent="0.2">
      <c r="A12" s="132">
        <v>10</v>
      </c>
      <c r="B12" s="133" t="s">
        <v>193</v>
      </c>
      <c r="C12" s="134" t="s">
        <v>203</v>
      </c>
      <c r="D12" s="135">
        <v>3</v>
      </c>
      <c r="E12" s="135">
        <v>48</v>
      </c>
      <c r="F12" s="136">
        <v>0</v>
      </c>
      <c r="G12" s="135">
        <v>3</v>
      </c>
      <c r="H12" s="137">
        <v>2890</v>
      </c>
      <c r="I12" s="137">
        <v>3</v>
      </c>
      <c r="J12" s="137">
        <v>48</v>
      </c>
      <c r="K12" s="137">
        <v>48</v>
      </c>
      <c r="L12" s="137">
        <v>48</v>
      </c>
      <c r="M12" s="137">
        <v>3</v>
      </c>
    </row>
    <row r="13" spans="1:16" ht="45" x14ac:dyDescent="0.2">
      <c r="A13" s="132">
        <v>11</v>
      </c>
      <c r="B13" s="133" t="s">
        <v>193</v>
      </c>
      <c r="C13" s="134" t="s">
        <v>204</v>
      </c>
      <c r="D13" s="135">
        <v>1</v>
      </c>
      <c r="E13" s="135">
        <v>16</v>
      </c>
      <c r="F13" s="136">
        <v>3</v>
      </c>
      <c r="G13" s="135">
        <v>0</v>
      </c>
      <c r="H13" s="137">
        <v>1565</v>
      </c>
      <c r="I13" s="137">
        <v>0</v>
      </c>
      <c r="J13" s="137">
        <v>16</v>
      </c>
      <c r="K13" s="137">
        <v>2</v>
      </c>
      <c r="L13" s="137">
        <v>16</v>
      </c>
      <c r="M13" s="137">
        <v>2</v>
      </c>
    </row>
    <row r="14" spans="1:16" ht="45" x14ac:dyDescent="0.2">
      <c r="A14" s="132">
        <v>12</v>
      </c>
      <c r="B14" s="133" t="s">
        <v>205</v>
      </c>
      <c r="C14" s="134" t="s">
        <v>206</v>
      </c>
      <c r="D14" s="135">
        <v>1</v>
      </c>
      <c r="E14" s="135">
        <v>16</v>
      </c>
      <c r="F14" s="136">
        <v>3</v>
      </c>
      <c r="G14" s="135">
        <v>0</v>
      </c>
      <c r="H14" s="137">
        <v>1590</v>
      </c>
      <c r="I14" s="137">
        <v>0</v>
      </c>
      <c r="J14" s="137">
        <v>16</v>
      </c>
      <c r="K14" s="137">
        <v>1</v>
      </c>
      <c r="L14" s="137">
        <v>16</v>
      </c>
      <c r="M14" s="137">
        <v>2</v>
      </c>
      <c r="P14" s="131" t="s">
        <v>207</v>
      </c>
    </row>
    <row r="15" spans="1:16" ht="45" x14ac:dyDescent="0.2">
      <c r="A15" s="132">
        <v>13</v>
      </c>
      <c r="B15" s="133" t="s">
        <v>205</v>
      </c>
      <c r="C15" s="134" t="s">
        <v>208</v>
      </c>
      <c r="D15" s="135">
        <v>1</v>
      </c>
      <c r="E15" s="135">
        <v>16</v>
      </c>
      <c r="F15" s="136">
        <v>3</v>
      </c>
      <c r="G15" s="135">
        <v>0</v>
      </c>
      <c r="H15" s="137">
        <v>1520</v>
      </c>
      <c r="I15" s="137">
        <v>0</v>
      </c>
      <c r="J15" s="137">
        <v>16</v>
      </c>
      <c r="K15" s="137">
        <v>0</v>
      </c>
      <c r="L15" s="137">
        <v>16</v>
      </c>
      <c r="M15" s="137">
        <v>3</v>
      </c>
      <c r="N15" s="131" t="s">
        <v>152</v>
      </c>
      <c r="O15" s="131" t="s">
        <v>209</v>
      </c>
    </row>
    <row r="16" spans="1:16" ht="30" x14ac:dyDescent="0.2">
      <c r="A16" s="132">
        <v>14</v>
      </c>
      <c r="B16" s="133" t="s">
        <v>210</v>
      </c>
      <c r="C16" s="134" t="s">
        <v>211</v>
      </c>
      <c r="D16" s="135">
        <v>8</v>
      </c>
      <c r="E16" s="135">
        <v>128</v>
      </c>
      <c r="F16" s="136">
        <v>8</v>
      </c>
      <c r="G16" s="135">
        <v>5</v>
      </c>
      <c r="H16" s="137">
        <v>7435</v>
      </c>
      <c r="I16" s="137">
        <v>5</v>
      </c>
      <c r="J16" s="137">
        <v>128</v>
      </c>
      <c r="K16" s="137">
        <v>128</v>
      </c>
      <c r="L16" s="137">
        <v>128</v>
      </c>
      <c r="M16" s="137">
        <v>13</v>
      </c>
      <c r="N16" s="131" t="s">
        <v>207</v>
      </c>
      <c r="O16" s="131" t="s">
        <v>209</v>
      </c>
    </row>
    <row r="17" spans="1:13" ht="30" x14ac:dyDescent="0.2">
      <c r="A17" s="132">
        <v>15</v>
      </c>
      <c r="B17" s="133" t="s">
        <v>210</v>
      </c>
      <c r="C17" s="134" t="s">
        <v>212</v>
      </c>
      <c r="D17" s="135">
        <v>1</v>
      </c>
      <c r="E17" s="135">
        <v>16</v>
      </c>
      <c r="F17" s="136">
        <v>3</v>
      </c>
      <c r="G17" s="135">
        <v>0</v>
      </c>
      <c r="H17" s="137">
        <v>1660</v>
      </c>
      <c r="I17" s="137">
        <v>0</v>
      </c>
      <c r="J17" s="137">
        <v>16</v>
      </c>
      <c r="K17" s="137">
        <v>0</v>
      </c>
      <c r="L17" s="137">
        <v>17</v>
      </c>
      <c r="M17" s="137">
        <v>3</v>
      </c>
    </row>
    <row r="18" spans="1:13" ht="30" x14ac:dyDescent="0.2">
      <c r="A18" s="132">
        <v>16</v>
      </c>
      <c r="B18" s="133" t="s">
        <v>210</v>
      </c>
      <c r="C18" s="134" t="s">
        <v>213</v>
      </c>
      <c r="D18" s="135">
        <v>2</v>
      </c>
      <c r="E18" s="135">
        <v>32</v>
      </c>
      <c r="F18" s="136">
        <v>6</v>
      </c>
      <c r="G18" s="135">
        <v>0</v>
      </c>
      <c r="H18" s="137">
        <v>3180</v>
      </c>
      <c r="I18" s="137">
        <v>0</v>
      </c>
      <c r="J18" s="137">
        <v>32</v>
      </c>
      <c r="K18" s="137">
        <v>0</v>
      </c>
      <c r="L18" s="137">
        <v>34</v>
      </c>
      <c r="M18" s="137">
        <v>6</v>
      </c>
    </row>
    <row r="19" spans="1:13" ht="30" x14ac:dyDescent="0.2">
      <c r="A19" s="132">
        <v>17</v>
      </c>
      <c r="B19" s="133" t="s">
        <v>210</v>
      </c>
      <c r="C19" s="134" t="s">
        <v>214</v>
      </c>
      <c r="D19" s="135">
        <v>2</v>
      </c>
      <c r="E19" s="135">
        <v>32</v>
      </c>
      <c r="F19" s="136">
        <v>6</v>
      </c>
      <c r="G19" s="135">
        <v>0</v>
      </c>
      <c r="H19" s="137">
        <v>3200</v>
      </c>
      <c r="I19" s="137">
        <v>0</v>
      </c>
      <c r="J19" s="137">
        <v>32</v>
      </c>
      <c r="K19" s="137">
        <v>0</v>
      </c>
      <c r="L19" s="137">
        <v>32</v>
      </c>
      <c r="M19" s="137">
        <v>6</v>
      </c>
    </row>
    <row r="20" spans="1:13" ht="60" x14ac:dyDescent="0.2">
      <c r="A20" s="132">
        <v>18</v>
      </c>
      <c r="B20" s="133" t="s">
        <v>210</v>
      </c>
      <c r="C20" s="134" t="s">
        <v>215</v>
      </c>
      <c r="D20" s="135">
        <v>2</v>
      </c>
      <c r="E20" s="135">
        <v>32</v>
      </c>
      <c r="F20" s="136">
        <v>6</v>
      </c>
      <c r="G20" s="135">
        <v>0</v>
      </c>
      <c r="H20" s="137">
        <v>3030</v>
      </c>
      <c r="I20" s="137">
        <v>0</v>
      </c>
      <c r="J20" s="137">
        <v>32</v>
      </c>
      <c r="K20" s="137">
        <v>0</v>
      </c>
      <c r="L20" s="137">
        <v>32</v>
      </c>
      <c r="M20" s="137">
        <v>6</v>
      </c>
    </row>
    <row r="21" spans="1:13" ht="60" x14ac:dyDescent="0.2">
      <c r="A21" s="132">
        <v>19</v>
      </c>
      <c r="B21" s="133" t="s">
        <v>210</v>
      </c>
      <c r="C21" s="134" t="s">
        <v>216</v>
      </c>
      <c r="D21" s="135">
        <v>1</v>
      </c>
      <c r="E21" s="135">
        <v>16</v>
      </c>
      <c r="F21" s="136">
        <v>3</v>
      </c>
      <c r="G21" s="135">
        <v>0</v>
      </c>
      <c r="H21" s="137">
        <v>1745</v>
      </c>
      <c r="I21" s="137">
        <v>0</v>
      </c>
      <c r="J21" s="137">
        <v>16</v>
      </c>
      <c r="K21" s="137">
        <v>0</v>
      </c>
      <c r="L21" s="137">
        <v>16</v>
      </c>
      <c r="M21" s="137">
        <v>3</v>
      </c>
    </row>
    <row r="22" spans="1:13" ht="45" x14ac:dyDescent="0.2">
      <c r="A22" s="132">
        <v>20</v>
      </c>
      <c r="B22" s="133" t="s">
        <v>2</v>
      </c>
      <c r="C22" s="134" t="s">
        <v>217</v>
      </c>
      <c r="D22" s="135">
        <v>1</v>
      </c>
      <c r="E22" s="135">
        <v>16</v>
      </c>
      <c r="F22" s="136">
        <v>3</v>
      </c>
      <c r="G22" s="135">
        <v>0</v>
      </c>
      <c r="H22" s="137">
        <v>1100</v>
      </c>
      <c r="I22" s="137">
        <v>0</v>
      </c>
      <c r="J22" s="137">
        <v>16</v>
      </c>
      <c r="K22" s="137">
        <v>9</v>
      </c>
      <c r="L22" s="137">
        <v>16</v>
      </c>
      <c r="M22" s="137">
        <v>2</v>
      </c>
    </row>
    <row r="23" spans="1:13" s="1" customFormat="1" ht="60" x14ac:dyDescent="0.2">
      <c r="A23" s="10">
        <v>21</v>
      </c>
      <c r="B23" s="7" t="s">
        <v>2</v>
      </c>
      <c r="C23" s="8" t="s">
        <v>46</v>
      </c>
      <c r="D23" s="9">
        <v>1</v>
      </c>
      <c r="E23" s="100">
        <v>16</v>
      </c>
      <c r="F23" s="241" t="s">
        <v>153</v>
      </c>
      <c r="G23" s="242"/>
      <c r="H23" s="242"/>
      <c r="I23" s="242"/>
      <c r="J23" s="242"/>
      <c r="K23" s="242"/>
      <c r="L23" s="242"/>
      <c r="M23" s="243"/>
    </row>
    <row r="24" spans="1:13" ht="45" x14ac:dyDescent="0.2">
      <c r="A24" s="132">
        <v>22</v>
      </c>
      <c r="B24" s="133" t="s">
        <v>2</v>
      </c>
      <c r="C24" s="134" t="s">
        <v>218</v>
      </c>
      <c r="D24" s="135">
        <v>1</v>
      </c>
      <c r="E24" s="135">
        <v>16</v>
      </c>
      <c r="F24" s="136">
        <v>3</v>
      </c>
      <c r="G24" s="135">
        <v>0</v>
      </c>
      <c r="H24" s="137">
        <v>1015</v>
      </c>
      <c r="I24" s="137">
        <v>0</v>
      </c>
      <c r="J24" s="137">
        <v>16</v>
      </c>
      <c r="K24" s="137">
        <v>8</v>
      </c>
      <c r="L24" s="137">
        <v>16</v>
      </c>
      <c r="M24" s="137">
        <v>1</v>
      </c>
    </row>
    <row r="25" spans="1:13" ht="60" x14ac:dyDescent="0.2">
      <c r="A25" s="169">
        <v>23</v>
      </c>
      <c r="B25" s="155" t="s">
        <v>2</v>
      </c>
      <c r="C25" s="156" t="s">
        <v>219</v>
      </c>
      <c r="D25" s="157">
        <v>1</v>
      </c>
      <c r="E25" s="157">
        <v>16</v>
      </c>
      <c r="F25" s="158">
        <v>2</v>
      </c>
      <c r="G25" s="157">
        <v>0</v>
      </c>
      <c r="H25" s="159">
        <v>267</v>
      </c>
      <c r="I25" s="159">
        <v>0</v>
      </c>
      <c r="J25" s="178">
        <v>10</v>
      </c>
      <c r="K25" s="159">
        <v>4</v>
      </c>
      <c r="L25" s="159">
        <v>10</v>
      </c>
      <c r="M25" s="159">
        <v>0</v>
      </c>
    </row>
    <row r="26" spans="1:13" ht="75" x14ac:dyDescent="0.2">
      <c r="A26" s="132">
        <v>24</v>
      </c>
      <c r="B26" s="133" t="s">
        <v>2</v>
      </c>
      <c r="C26" s="134" t="s">
        <v>220</v>
      </c>
      <c r="D26" s="135">
        <v>1</v>
      </c>
      <c r="E26" s="135">
        <v>16</v>
      </c>
      <c r="F26" s="136">
        <v>3</v>
      </c>
      <c r="G26" s="135">
        <v>0</v>
      </c>
      <c r="H26" s="137">
        <v>911</v>
      </c>
      <c r="I26" s="137">
        <v>0</v>
      </c>
      <c r="J26" s="137">
        <v>16</v>
      </c>
      <c r="K26" s="137">
        <v>9</v>
      </c>
      <c r="L26" s="137">
        <v>16</v>
      </c>
      <c r="M26" s="137">
        <v>1</v>
      </c>
    </row>
    <row r="27" spans="1:13" ht="45" x14ac:dyDescent="0.2">
      <c r="A27" s="132">
        <v>25</v>
      </c>
      <c r="B27" s="133" t="s">
        <v>3</v>
      </c>
      <c r="C27" s="134" t="s">
        <v>221</v>
      </c>
      <c r="D27" s="135">
        <v>8</v>
      </c>
      <c r="E27" s="135">
        <v>128</v>
      </c>
      <c r="F27" s="136">
        <v>0</v>
      </c>
      <c r="G27" s="135">
        <v>8</v>
      </c>
      <c r="H27" s="137">
        <v>9600</v>
      </c>
      <c r="I27" s="137">
        <v>8</v>
      </c>
      <c r="J27" s="137">
        <v>128</v>
      </c>
      <c r="K27" s="137">
        <v>128</v>
      </c>
      <c r="L27" s="137">
        <v>136</v>
      </c>
      <c r="M27" s="137">
        <v>8</v>
      </c>
    </row>
    <row r="28" spans="1:13" ht="45" x14ac:dyDescent="0.2">
      <c r="A28" s="132">
        <v>26</v>
      </c>
      <c r="B28" s="133" t="s">
        <v>3</v>
      </c>
      <c r="C28" s="134" t="s">
        <v>222</v>
      </c>
      <c r="D28" s="135">
        <v>1</v>
      </c>
      <c r="E28" s="135">
        <v>16</v>
      </c>
      <c r="F28" s="136">
        <v>3</v>
      </c>
      <c r="G28" s="135">
        <v>0</v>
      </c>
      <c r="H28" s="137">
        <v>1020</v>
      </c>
      <c r="I28" s="137">
        <v>0</v>
      </c>
      <c r="J28" s="137">
        <v>16</v>
      </c>
      <c r="K28" s="137">
        <v>2</v>
      </c>
      <c r="L28" s="137">
        <v>17</v>
      </c>
      <c r="M28" s="137">
        <v>1</v>
      </c>
    </row>
    <row r="29" spans="1:13" ht="30" x14ac:dyDescent="0.2">
      <c r="A29" s="132">
        <v>27</v>
      </c>
      <c r="B29" s="133" t="s">
        <v>3</v>
      </c>
      <c r="C29" s="134" t="s">
        <v>223</v>
      </c>
      <c r="D29" s="135">
        <v>2</v>
      </c>
      <c r="E29" s="135">
        <v>32</v>
      </c>
      <c r="F29" s="136">
        <v>6</v>
      </c>
      <c r="G29" s="135">
        <v>0</v>
      </c>
      <c r="H29" s="137">
        <v>2930</v>
      </c>
      <c r="I29" s="137">
        <v>0</v>
      </c>
      <c r="J29" s="137">
        <v>32</v>
      </c>
      <c r="K29" s="137">
        <v>4</v>
      </c>
      <c r="L29" s="137">
        <v>32</v>
      </c>
      <c r="M29" s="137">
        <v>2</v>
      </c>
    </row>
    <row r="30" spans="1:13" ht="60" x14ac:dyDescent="0.2">
      <c r="A30" s="132">
        <v>28</v>
      </c>
      <c r="B30" s="133" t="s">
        <v>3</v>
      </c>
      <c r="C30" s="134" t="s">
        <v>224</v>
      </c>
      <c r="D30" s="135">
        <v>6</v>
      </c>
      <c r="E30" s="135">
        <v>96</v>
      </c>
      <c r="F30" s="136">
        <v>1</v>
      </c>
      <c r="G30" s="135">
        <v>4</v>
      </c>
      <c r="H30" s="137">
        <v>5500</v>
      </c>
      <c r="I30" s="137">
        <v>4</v>
      </c>
      <c r="J30" s="137">
        <v>96</v>
      </c>
      <c r="K30" s="137">
        <v>98</v>
      </c>
      <c r="L30" s="137">
        <v>98</v>
      </c>
      <c r="M30" s="137">
        <v>4</v>
      </c>
    </row>
    <row r="31" spans="1:13" ht="45" x14ac:dyDescent="0.2">
      <c r="A31" s="132">
        <v>29</v>
      </c>
      <c r="B31" s="133" t="s">
        <v>3</v>
      </c>
      <c r="C31" s="134" t="s">
        <v>225</v>
      </c>
      <c r="D31" s="135">
        <v>1</v>
      </c>
      <c r="E31" s="135">
        <v>16</v>
      </c>
      <c r="F31" s="136">
        <v>3</v>
      </c>
      <c r="G31" s="135">
        <v>0</v>
      </c>
      <c r="H31" s="137">
        <v>1182</v>
      </c>
      <c r="I31" s="137">
        <v>0</v>
      </c>
      <c r="J31" s="137">
        <v>16</v>
      </c>
      <c r="K31" s="137">
        <v>0</v>
      </c>
      <c r="L31" s="137">
        <v>19</v>
      </c>
      <c r="M31" s="137">
        <v>1</v>
      </c>
    </row>
    <row r="32" spans="1:13" ht="45" x14ac:dyDescent="0.2">
      <c r="A32" s="132">
        <v>30</v>
      </c>
      <c r="B32" s="133" t="s">
        <v>3</v>
      </c>
      <c r="C32" s="134" t="s">
        <v>226</v>
      </c>
      <c r="D32" s="135">
        <v>1</v>
      </c>
      <c r="E32" s="135">
        <v>16</v>
      </c>
      <c r="F32" s="136">
        <v>3</v>
      </c>
      <c r="G32" s="135">
        <v>0</v>
      </c>
      <c r="H32" s="137">
        <v>1390</v>
      </c>
      <c r="I32" s="137">
        <v>0</v>
      </c>
      <c r="J32" s="137">
        <v>16</v>
      </c>
      <c r="K32" s="137">
        <v>3</v>
      </c>
      <c r="L32" s="137">
        <v>17</v>
      </c>
      <c r="M32" s="137">
        <v>1</v>
      </c>
    </row>
    <row r="33" spans="1:16" ht="45" x14ac:dyDescent="0.2">
      <c r="A33" s="132">
        <v>31</v>
      </c>
      <c r="B33" s="133" t="s">
        <v>3</v>
      </c>
      <c r="C33" s="134" t="s">
        <v>227</v>
      </c>
      <c r="D33" s="135">
        <v>1</v>
      </c>
      <c r="E33" s="135">
        <v>16</v>
      </c>
      <c r="F33" s="136">
        <v>3</v>
      </c>
      <c r="G33" s="135">
        <v>0</v>
      </c>
      <c r="H33" s="137">
        <v>1118</v>
      </c>
      <c r="I33" s="137">
        <v>0</v>
      </c>
      <c r="J33" s="137">
        <v>16</v>
      </c>
      <c r="K33" s="137">
        <v>12</v>
      </c>
      <c r="L33" s="137">
        <v>20</v>
      </c>
      <c r="M33" s="137">
        <v>2</v>
      </c>
    </row>
    <row r="34" spans="1:16" ht="30" x14ac:dyDescent="0.2">
      <c r="A34" s="132">
        <v>32</v>
      </c>
      <c r="B34" s="150" t="s">
        <v>3</v>
      </c>
      <c r="C34" s="151" t="s">
        <v>228</v>
      </c>
      <c r="D34" s="152">
        <v>3</v>
      </c>
      <c r="E34" s="152">
        <v>48</v>
      </c>
      <c r="F34" s="153">
        <v>1</v>
      </c>
      <c r="G34" s="152">
        <v>2</v>
      </c>
      <c r="H34" s="154">
        <v>3785</v>
      </c>
      <c r="I34" s="154">
        <v>2</v>
      </c>
      <c r="J34" s="154">
        <v>48</v>
      </c>
      <c r="K34" s="154">
        <v>46</v>
      </c>
      <c r="L34" s="154">
        <v>48</v>
      </c>
      <c r="M34" s="154">
        <v>3</v>
      </c>
    </row>
    <row r="35" spans="1:16" ht="60" x14ac:dyDescent="0.2">
      <c r="A35" s="132">
        <v>33</v>
      </c>
      <c r="B35" s="133" t="s">
        <v>3</v>
      </c>
      <c r="C35" s="134" t="s">
        <v>229</v>
      </c>
      <c r="D35" s="135">
        <v>1</v>
      </c>
      <c r="E35" s="135">
        <v>16</v>
      </c>
      <c r="F35" s="136">
        <v>3</v>
      </c>
      <c r="G35" s="135">
        <v>0</v>
      </c>
      <c r="H35" s="137">
        <v>1600</v>
      </c>
      <c r="I35" s="137">
        <v>0</v>
      </c>
      <c r="J35" s="137">
        <v>16</v>
      </c>
      <c r="K35" s="137">
        <v>3</v>
      </c>
      <c r="L35" s="137">
        <v>17</v>
      </c>
      <c r="M35" s="137">
        <v>1</v>
      </c>
    </row>
    <row r="36" spans="1:16" ht="45" x14ac:dyDescent="0.2">
      <c r="A36" s="132">
        <v>34</v>
      </c>
      <c r="B36" s="133" t="s">
        <v>3</v>
      </c>
      <c r="C36" s="134" t="s">
        <v>230</v>
      </c>
      <c r="D36" s="135">
        <v>1</v>
      </c>
      <c r="E36" s="135">
        <v>16</v>
      </c>
      <c r="F36" s="136">
        <v>3</v>
      </c>
      <c r="G36" s="135">
        <v>0</v>
      </c>
      <c r="H36" s="137">
        <v>1220</v>
      </c>
      <c r="I36" s="137">
        <v>0</v>
      </c>
      <c r="J36" s="137">
        <v>16</v>
      </c>
      <c r="K36" s="137">
        <v>3</v>
      </c>
      <c r="L36" s="137">
        <v>17</v>
      </c>
      <c r="M36" s="137">
        <v>1</v>
      </c>
    </row>
    <row r="37" spans="1:16" ht="60" x14ac:dyDescent="0.2">
      <c r="A37" s="132">
        <v>35</v>
      </c>
      <c r="B37" s="133" t="s">
        <v>3</v>
      </c>
      <c r="C37" s="134" t="s">
        <v>231</v>
      </c>
      <c r="D37" s="135">
        <v>1</v>
      </c>
      <c r="E37" s="135">
        <v>16</v>
      </c>
      <c r="F37" s="136">
        <v>3</v>
      </c>
      <c r="G37" s="135">
        <v>0</v>
      </c>
      <c r="H37" s="137">
        <v>1560</v>
      </c>
      <c r="I37" s="137">
        <v>0</v>
      </c>
      <c r="J37" s="137">
        <v>16</v>
      </c>
      <c r="K37" s="137">
        <v>2</v>
      </c>
      <c r="L37" s="137">
        <v>16</v>
      </c>
      <c r="M37" s="137">
        <v>1</v>
      </c>
    </row>
    <row r="38" spans="1:16" ht="75" x14ac:dyDescent="0.2">
      <c r="A38" s="132">
        <v>36</v>
      </c>
      <c r="B38" s="133" t="s">
        <v>232</v>
      </c>
      <c r="C38" s="134" t="s">
        <v>233</v>
      </c>
      <c r="D38" s="135">
        <v>2</v>
      </c>
      <c r="E38" s="135">
        <v>32</v>
      </c>
      <c r="F38" s="136">
        <v>6</v>
      </c>
      <c r="G38" s="135">
        <v>0</v>
      </c>
      <c r="H38" s="137">
        <v>3725</v>
      </c>
      <c r="I38" s="137">
        <v>0</v>
      </c>
      <c r="J38" s="137">
        <v>32</v>
      </c>
      <c r="K38" s="137">
        <v>0</v>
      </c>
      <c r="L38" s="137">
        <v>32</v>
      </c>
      <c r="M38" s="137">
        <v>6</v>
      </c>
    </row>
    <row r="39" spans="1:16" ht="30" x14ac:dyDescent="0.2">
      <c r="A39" s="132">
        <v>37</v>
      </c>
      <c r="B39" s="133" t="s">
        <v>4</v>
      </c>
      <c r="C39" s="134" t="s">
        <v>234</v>
      </c>
      <c r="D39" s="135">
        <v>2</v>
      </c>
      <c r="E39" s="135">
        <v>32</v>
      </c>
      <c r="F39" s="136">
        <v>6</v>
      </c>
      <c r="G39" s="135">
        <v>0</v>
      </c>
      <c r="H39" s="137">
        <v>1450</v>
      </c>
      <c r="I39" s="137">
        <v>0</v>
      </c>
      <c r="J39" s="137">
        <v>32</v>
      </c>
      <c r="K39" s="137">
        <v>2</v>
      </c>
      <c r="L39" s="137">
        <v>32</v>
      </c>
      <c r="M39" s="137">
        <v>4</v>
      </c>
    </row>
    <row r="40" spans="1:16" ht="30" x14ac:dyDescent="0.2">
      <c r="A40" s="132">
        <v>38</v>
      </c>
      <c r="B40" s="133" t="s">
        <v>4</v>
      </c>
      <c r="C40" s="134" t="s">
        <v>235</v>
      </c>
      <c r="D40" s="135">
        <v>1</v>
      </c>
      <c r="E40" s="135">
        <v>16</v>
      </c>
      <c r="F40" s="136">
        <v>3</v>
      </c>
      <c r="G40" s="135">
        <v>0</v>
      </c>
      <c r="H40" s="137">
        <v>1170</v>
      </c>
      <c r="I40" s="137">
        <v>0</v>
      </c>
      <c r="J40" s="137">
        <v>16</v>
      </c>
      <c r="K40" s="137">
        <v>1</v>
      </c>
      <c r="L40" s="137">
        <v>16</v>
      </c>
      <c r="M40" s="137">
        <v>2</v>
      </c>
    </row>
    <row r="41" spans="1:16" ht="30" x14ac:dyDescent="0.2">
      <c r="A41" s="132">
        <v>39</v>
      </c>
      <c r="B41" s="133" t="s">
        <v>236</v>
      </c>
      <c r="C41" s="134" t="s">
        <v>237</v>
      </c>
      <c r="D41" s="135">
        <v>5</v>
      </c>
      <c r="E41" s="135">
        <v>80</v>
      </c>
      <c r="F41" s="136">
        <v>8</v>
      </c>
      <c r="G41" s="135">
        <v>2</v>
      </c>
      <c r="H41" s="137">
        <v>7080</v>
      </c>
      <c r="I41" s="137">
        <v>2</v>
      </c>
      <c r="J41" s="137">
        <v>80</v>
      </c>
      <c r="K41" s="137">
        <v>59</v>
      </c>
      <c r="L41" s="137">
        <v>80</v>
      </c>
      <c r="M41" s="137">
        <v>7</v>
      </c>
    </row>
    <row r="42" spans="1:16" ht="30" x14ac:dyDescent="0.2">
      <c r="A42" s="132">
        <v>40</v>
      </c>
      <c r="B42" s="133" t="s">
        <v>5</v>
      </c>
      <c r="C42" s="134" t="s">
        <v>238</v>
      </c>
      <c r="D42" s="135">
        <v>2</v>
      </c>
      <c r="E42" s="135">
        <v>32</v>
      </c>
      <c r="F42" s="136">
        <v>6</v>
      </c>
      <c r="G42" s="135">
        <v>0</v>
      </c>
      <c r="H42" s="137">
        <v>3270</v>
      </c>
      <c r="I42" s="137">
        <v>0</v>
      </c>
      <c r="J42" s="137">
        <v>32</v>
      </c>
      <c r="K42" s="137">
        <v>41</v>
      </c>
      <c r="L42" s="137">
        <v>56</v>
      </c>
      <c r="M42" s="137">
        <v>6</v>
      </c>
    </row>
    <row r="43" spans="1:16" ht="30" x14ac:dyDescent="0.2">
      <c r="A43" s="132">
        <v>41</v>
      </c>
      <c r="B43" s="133" t="s">
        <v>5</v>
      </c>
      <c r="C43" s="134" t="s">
        <v>239</v>
      </c>
      <c r="D43" s="135">
        <v>1</v>
      </c>
      <c r="E43" s="135">
        <v>16</v>
      </c>
      <c r="F43" s="136">
        <v>3</v>
      </c>
      <c r="G43" s="135">
        <v>0</v>
      </c>
      <c r="H43" s="137">
        <v>1450</v>
      </c>
      <c r="I43" s="137">
        <v>0</v>
      </c>
      <c r="J43" s="137">
        <v>16</v>
      </c>
      <c r="K43" s="137">
        <v>9</v>
      </c>
      <c r="L43" s="137">
        <v>24</v>
      </c>
      <c r="M43" s="137">
        <v>2</v>
      </c>
    </row>
    <row r="44" spans="1:16" ht="45" x14ac:dyDescent="0.2">
      <c r="A44" s="132">
        <v>42</v>
      </c>
      <c r="B44" s="133" t="s">
        <v>6</v>
      </c>
      <c r="C44" s="134" t="s">
        <v>240</v>
      </c>
      <c r="D44" s="135">
        <v>1</v>
      </c>
      <c r="E44" s="135">
        <v>16</v>
      </c>
      <c r="F44" s="136">
        <v>3</v>
      </c>
      <c r="G44" s="135">
        <v>0</v>
      </c>
      <c r="H44" s="137">
        <v>2550</v>
      </c>
      <c r="I44" s="137">
        <v>0</v>
      </c>
      <c r="J44" s="137">
        <v>16</v>
      </c>
      <c r="K44" s="137">
        <v>3</v>
      </c>
      <c r="L44" s="137">
        <v>16</v>
      </c>
      <c r="M44" s="137">
        <v>3</v>
      </c>
    </row>
    <row r="45" spans="1:16" ht="60" x14ac:dyDescent="0.2">
      <c r="A45" s="132">
        <v>43</v>
      </c>
      <c r="B45" s="133" t="s">
        <v>6</v>
      </c>
      <c r="C45" s="134" t="s">
        <v>241</v>
      </c>
      <c r="D45" s="135">
        <v>1</v>
      </c>
      <c r="E45" s="135">
        <v>16</v>
      </c>
      <c r="F45" s="136">
        <v>3</v>
      </c>
      <c r="G45" s="135">
        <v>0</v>
      </c>
      <c r="H45" s="137">
        <v>1150</v>
      </c>
      <c r="I45" s="137">
        <v>0</v>
      </c>
      <c r="J45" s="137">
        <v>16</v>
      </c>
      <c r="K45" s="137">
        <v>3</v>
      </c>
      <c r="L45" s="137">
        <v>16</v>
      </c>
      <c r="M45" s="137">
        <v>2</v>
      </c>
      <c r="P45" s="131" t="s">
        <v>242</v>
      </c>
    </row>
    <row r="46" spans="1:16" ht="30" x14ac:dyDescent="0.2">
      <c r="A46" s="132">
        <v>44</v>
      </c>
      <c r="B46" s="133" t="s">
        <v>6</v>
      </c>
      <c r="C46" s="134" t="s">
        <v>243</v>
      </c>
      <c r="D46" s="135">
        <v>2</v>
      </c>
      <c r="E46" s="135">
        <v>32</v>
      </c>
      <c r="F46" s="136">
        <v>2</v>
      </c>
      <c r="G46" s="135">
        <v>1</v>
      </c>
      <c r="H46" s="137">
        <v>1575</v>
      </c>
      <c r="I46" s="137">
        <v>1</v>
      </c>
      <c r="J46" s="137">
        <v>32</v>
      </c>
      <c r="K46" s="137">
        <v>29</v>
      </c>
      <c r="L46" s="137">
        <v>32</v>
      </c>
      <c r="M46" s="137">
        <v>2</v>
      </c>
    </row>
    <row r="47" spans="1:16" ht="30" x14ac:dyDescent="0.2">
      <c r="A47" s="132">
        <v>45</v>
      </c>
      <c r="B47" s="133" t="s">
        <v>6</v>
      </c>
      <c r="C47" s="134" t="s">
        <v>244</v>
      </c>
      <c r="D47" s="135">
        <v>1</v>
      </c>
      <c r="E47" s="135">
        <v>16</v>
      </c>
      <c r="F47" s="136">
        <v>3</v>
      </c>
      <c r="G47" s="135">
        <v>0</v>
      </c>
      <c r="H47" s="137">
        <v>2280</v>
      </c>
      <c r="I47" s="137">
        <v>0</v>
      </c>
      <c r="J47" s="137">
        <v>16</v>
      </c>
      <c r="K47" s="137">
        <v>4</v>
      </c>
      <c r="L47" s="137">
        <v>16</v>
      </c>
      <c r="M47" s="137">
        <v>1</v>
      </c>
    </row>
    <row r="48" spans="1:16" ht="30" x14ac:dyDescent="0.2">
      <c r="A48" s="132">
        <v>46</v>
      </c>
      <c r="B48" s="133" t="s">
        <v>6</v>
      </c>
      <c r="C48" s="134" t="s">
        <v>245</v>
      </c>
      <c r="D48" s="135">
        <v>1</v>
      </c>
      <c r="E48" s="135">
        <v>16</v>
      </c>
      <c r="F48" s="136">
        <v>3</v>
      </c>
      <c r="G48" s="135">
        <v>0</v>
      </c>
      <c r="H48" s="137">
        <v>1250</v>
      </c>
      <c r="I48" s="137">
        <v>0</v>
      </c>
      <c r="J48" s="137">
        <v>16</v>
      </c>
      <c r="K48" s="137">
        <v>3</v>
      </c>
      <c r="L48" s="137">
        <v>16</v>
      </c>
      <c r="M48" s="137">
        <v>2</v>
      </c>
    </row>
    <row r="49" spans="1:13" ht="45" x14ac:dyDescent="0.2">
      <c r="A49" s="132">
        <v>47</v>
      </c>
      <c r="B49" s="133" t="s">
        <v>6</v>
      </c>
      <c r="C49" s="134" t="s">
        <v>246</v>
      </c>
      <c r="D49" s="135">
        <v>1</v>
      </c>
      <c r="E49" s="135">
        <v>16</v>
      </c>
      <c r="F49" s="136">
        <v>3</v>
      </c>
      <c r="G49" s="135">
        <v>0</v>
      </c>
      <c r="H49" s="137">
        <v>1000</v>
      </c>
      <c r="I49" s="137">
        <v>0</v>
      </c>
      <c r="J49" s="137">
        <v>16</v>
      </c>
      <c r="K49" s="137">
        <v>3</v>
      </c>
      <c r="L49" s="137">
        <v>16</v>
      </c>
      <c r="M49" s="137">
        <v>2</v>
      </c>
    </row>
    <row r="50" spans="1:13" ht="15.75" x14ac:dyDescent="0.2">
      <c r="C50" s="130" t="s">
        <v>182</v>
      </c>
      <c r="D50" s="138">
        <f>SUM(D3:D49)</f>
        <v>90</v>
      </c>
      <c r="E50" s="170">
        <f>SUM(E3:E49)</f>
        <v>1440</v>
      </c>
      <c r="F50" s="138">
        <f t="shared" ref="F50:M50" si="0">SUM(F3:F49)</f>
        <v>163</v>
      </c>
      <c r="G50" s="138">
        <f t="shared" si="0"/>
        <v>31</v>
      </c>
      <c r="H50" s="138">
        <f t="shared" si="0"/>
        <v>112554</v>
      </c>
      <c r="I50" s="138">
        <f t="shared" si="0"/>
        <v>31</v>
      </c>
      <c r="J50" s="171">
        <f t="shared" si="0"/>
        <v>1418</v>
      </c>
      <c r="K50" s="138">
        <f t="shared" si="0"/>
        <v>785</v>
      </c>
      <c r="L50" s="138">
        <f t="shared" si="0"/>
        <v>1474</v>
      </c>
      <c r="M50" s="138">
        <f t="shared" si="0"/>
        <v>143</v>
      </c>
    </row>
    <row r="52" spans="1:13" ht="14.25" x14ac:dyDescent="0.2">
      <c r="F52" s="129">
        <v>7993.56</v>
      </c>
      <c r="G52" s="129">
        <v>88441</v>
      </c>
      <c r="H52" s="129">
        <v>106.2</v>
      </c>
      <c r="I52" s="129">
        <v>5596.98</v>
      </c>
      <c r="J52" s="129">
        <v>259.60000000000002</v>
      </c>
      <c r="K52" s="129">
        <v>141.6</v>
      </c>
      <c r="L52" s="129">
        <v>230.3</v>
      </c>
      <c r="M52" s="129">
        <v>8230.77</v>
      </c>
    </row>
    <row r="54" spans="1:13" ht="14.25" x14ac:dyDescent="0.2">
      <c r="F54" s="139">
        <f>F52*F50</f>
        <v>1302950.28</v>
      </c>
      <c r="G54" s="139">
        <f t="shared" ref="G54:M54" si="1">G52*G50</f>
        <v>2741671</v>
      </c>
      <c r="H54" s="139">
        <f t="shared" si="1"/>
        <v>11953234.800000001</v>
      </c>
      <c r="I54" s="139">
        <f t="shared" si="1"/>
        <v>173506.37999999998</v>
      </c>
      <c r="J54" s="139">
        <f t="shared" si="1"/>
        <v>368112.80000000005</v>
      </c>
      <c r="K54" s="139">
        <f t="shared" si="1"/>
        <v>111156</v>
      </c>
      <c r="L54" s="139">
        <f t="shared" si="1"/>
        <v>339462.2</v>
      </c>
      <c r="M54" s="139">
        <f t="shared" si="1"/>
        <v>1177000.1100000001</v>
      </c>
    </row>
    <row r="55" spans="1:13" x14ac:dyDescent="0.2">
      <c r="F55" s="140"/>
      <c r="G55" s="140"/>
      <c r="H55" s="140"/>
      <c r="I55" s="140"/>
      <c r="J55" s="140"/>
      <c r="K55" s="140"/>
      <c r="L55" s="140"/>
      <c r="M55" s="140"/>
    </row>
    <row r="56" spans="1:13" ht="15.75" x14ac:dyDescent="0.25">
      <c r="F56" s="140"/>
      <c r="G56" s="140"/>
      <c r="H56" s="140"/>
      <c r="I56" s="140"/>
      <c r="J56" s="140"/>
      <c r="K56" s="140"/>
      <c r="L56" s="140"/>
      <c r="M56" s="141">
        <f>SUM(F54:M54)</f>
        <v>18167093.570000004</v>
      </c>
    </row>
    <row r="60" spans="1:13" x14ac:dyDescent="0.2">
      <c r="F60" s="131">
        <f>87+89</f>
        <v>176</v>
      </c>
    </row>
  </sheetData>
  <mergeCells count="2">
    <mergeCell ref="A1:M1"/>
    <mergeCell ref="F23:M23"/>
  </mergeCells>
  <pageMargins left="0.28999999999999998" right="0.17" top="0.75" bottom="0.38" header="0.3" footer="0.3"/>
  <pageSetup paperSize="9"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zoomScaleNormal="100" workbookViewId="0">
      <selection activeCell="I24" sqref="I24"/>
    </sheetView>
  </sheetViews>
  <sheetFormatPr defaultColWidth="10.6640625" defaultRowHeight="15.75" x14ac:dyDescent="0.25"/>
  <cols>
    <col min="1" max="1" width="7.83203125" style="101" customWidth="1"/>
    <col min="2" max="2" width="9.83203125" style="101" customWidth="1"/>
    <col min="3" max="3" width="55.33203125" style="101" customWidth="1"/>
    <col min="4" max="4" width="6.83203125" style="101" customWidth="1"/>
    <col min="5" max="5" width="13.33203125" style="101" bestFit="1" customWidth="1"/>
    <col min="6" max="6" width="18.6640625" style="101" bestFit="1" customWidth="1"/>
    <col min="7" max="7" width="13.33203125" style="101" bestFit="1" customWidth="1"/>
    <col min="8" max="8" width="10.6640625" style="101"/>
    <col min="9" max="9" width="18.83203125" style="101" bestFit="1" customWidth="1"/>
    <col min="10" max="16384" width="10.6640625" style="101"/>
  </cols>
  <sheetData>
    <row r="1" spans="1:9" x14ac:dyDescent="0.25">
      <c r="A1" s="101" t="s">
        <v>162</v>
      </c>
    </row>
    <row r="2" spans="1:9" x14ac:dyDescent="0.25">
      <c r="A2" s="101" t="s">
        <v>163</v>
      </c>
      <c r="E2" s="101" t="s">
        <v>187</v>
      </c>
    </row>
    <row r="3" spans="1:9" x14ac:dyDescent="0.25">
      <c r="A3" s="101" t="s">
        <v>164</v>
      </c>
      <c r="E3" s="101" t="s">
        <v>247</v>
      </c>
    </row>
    <row r="5" spans="1:9" x14ac:dyDescent="0.25">
      <c r="A5" s="102"/>
      <c r="B5" s="103"/>
      <c r="E5" s="258"/>
      <c r="F5" s="258"/>
    </row>
    <row r="6" spans="1:9" ht="35.25" customHeight="1" x14ac:dyDescent="0.25">
      <c r="A6" s="259" t="s">
        <v>186</v>
      </c>
      <c r="B6" s="259"/>
      <c r="C6" s="259"/>
      <c r="D6" s="259"/>
      <c r="E6" s="259"/>
      <c r="F6" s="259"/>
    </row>
    <row r="7" spans="1:9" x14ac:dyDescent="0.25">
      <c r="A7" s="104"/>
      <c r="B7" s="104"/>
      <c r="C7" s="104"/>
      <c r="D7" s="104"/>
    </row>
    <row r="8" spans="1:9" x14ac:dyDescent="0.25">
      <c r="A8" s="260" t="s">
        <v>165</v>
      </c>
      <c r="B8" s="260"/>
      <c r="C8" s="260"/>
      <c r="D8" s="260"/>
    </row>
    <row r="10" spans="1:9" x14ac:dyDescent="0.25">
      <c r="A10" s="105" t="s">
        <v>166</v>
      </c>
      <c r="B10" s="105" t="s">
        <v>167</v>
      </c>
      <c r="C10" s="105" t="s">
        <v>168</v>
      </c>
      <c r="D10" s="105" t="s">
        <v>170</v>
      </c>
      <c r="E10" s="142" t="s">
        <v>169</v>
      </c>
      <c r="F10" s="105" t="s">
        <v>171</v>
      </c>
    </row>
    <row r="11" spans="1:9" x14ac:dyDescent="0.25">
      <c r="A11" s="105"/>
      <c r="B11" s="105"/>
      <c r="C11" s="105"/>
      <c r="D11" s="105"/>
      <c r="E11" s="143"/>
      <c r="F11" s="105"/>
    </row>
    <row r="12" spans="1:9" ht="31.5" x14ac:dyDescent="0.25">
      <c r="A12" s="106">
        <v>1</v>
      </c>
      <c r="B12" s="106">
        <v>162</v>
      </c>
      <c r="C12" s="107" t="s">
        <v>172</v>
      </c>
      <c r="D12" s="109" t="s">
        <v>173</v>
      </c>
      <c r="E12" s="108">
        <v>7993.56</v>
      </c>
      <c r="F12" s="108">
        <f>B12*E12</f>
        <v>1294956.72</v>
      </c>
      <c r="H12" s="126"/>
      <c r="I12" s="127"/>
    </row>
    <row r="13" spans="1:9" ht="31.5" x14ac:dyDescent="0.25">
      <c r="A13" s="106">
        <v>2</v>
      </c>
      <c r="B13" s="106">
        <v>34</v>
      </c>
      <c r="C13" s="107" t="s">
        <v>174</v>
      </c>
      <c r="D13" s="109" t="s">
        <v>173</v>
      </c>
      <c r="E13" s="108">
        <v>88441</v>
      </c>
      <c r="F13" s="108">
        <f t="shared" ref="F13:F19" si="0">B13*E13</f>
        <v>3006994</v>
      </c>
      <c r="H13" s="126"/>
      <c r="I13" s="127"/>
    </row>
    <row r="14" spans="1:9" ht="31.5" x14ac:dyDescent="0.25">
      <c r="A14" s="106">
        <v>3</v>
      </c>
      <c r="B14" s="106">
        <v>95843</v>
      </c>
      <c r="C14" s="110" t="s">
        <v>175</v>
      </c>
      <c r="D14" s="109" t="s">
        <v>176</v>
      </c>
      <c r="E14" s="108">
        <v>106.2</v>
      </c>
      <c r="F14" s="108">
        <f t="shared" si="0"/>
        <v>10178526.6</v>
      </c>
      <c r="H14" s="126"/>
      <c r="I14" s="127"/>
    </row>
    <row r="15" spans="1:9" ht="31.5" x14ac:dyDescent="0.25">
      <c r="A15" s="106">
        <v>4</v>
      </c>
      <c r="B15" s="106">
        <v>34</v>
      </c>
      <c r="C15" s="107" t="s">
        <v>177</v>
      </c>
      <c r="D15" s="109" t="s">
        <v>173</v>
      </c>
      <c r="E15" s="108">
        <v>5596.98</v>
      </c>
      <c r="F15" s="108">
        <f t="shared" si="0"/>
        <v>190297.31999999998</v>
      </c>
      <c r="H15" s="126"/>
      <c r="I15" s="127"/>
    </row>
    <row r="16" spans="1:9" ht="47.25" x14ac:dyDescent="0.25">
      <c r="A16" s="106">
        <v>5</v>
      </c>
      <c r="B16" s="173">
        <v>1424</v>
      </c>
      <c r="C16" s="107" t="s">
        <v>178</v>
      </c>
      <c r="D16" s="109" t="s">
        <v>173</v>
      </c>
      <c r="E16" s="108">
        <v>259.60000000000002</v>
      </c>
      <c r="F16" s="108">
        <f t="shared" si="0"/>
        <v>369670.40000000002</v>
      </c>
      <c r="H16" s="126"/>
      <c r="I16" s="127"/>
    </row>
    <row r="17" spans="1:9" ht="31.5" x14ac:dyDescent="0.25">
      <c r="A17" s="106">
        <v>6</v>
      </c>
      <c r="B17" s="106">
        <v>853</v>
      </c>
      <c r="C17" s="107" t="s">
        <v>179</v>
      </c>
      <c r="D17" s="109" t="s">
        <v>173</v>
      </c>
      <c r="E17" s="108">
        <v>141.6</v>
      </c>
      <c r="F17" s="108">
        <f t="shared" si="0"/>
        <v>120784.79999999999</v>
      </c>
      <c r="H17" s="126"/>
      <c r="I17" s="127"/>
    </row>
    <row r="18" spans="1:9" ht="31.5" x14ac:dyDescent="0.25">
      <c r="A18" s="106">
        <v>7</v>
      </c>
      <c r="B18" s="106">
        <v>1469</v>
      </c>
      <c r="C18" s="107" t="s">
        <v>180</v>
      </c>
      <c r="D18" s="109" t="s">
        <v>173</v>
      </c>
      <c r="E18" s="108">
        <v>230.3</v>
      </c>
      <c r="F18" s="108">
        <f t="shared" si="0"/>
        <v>338310.7</v>
      </c>
      <c r="H18" s="126"/>
      <c r="I18" s="127"/>
    </row>
    <row r="19" spans="1:9" ht="30" x14ac:dyDescent="0.25">
      <c r="A19" s="106">
        <v>8</v>
      </c>
      <c r="B19" s="106">
        <v>126</v>
      </c>
      <c r="C19" s="111" t="s">
        <v>181</v>
      </c>
      <c r="D19" s="109" t="s">
        <v>173</v>
      </c>
      <c r="E19" s="108">
        <v>8230.77</v>
      </c>
      <c r="F19" s="108">
        <f t="shared" si="0"/>
        <v>1037077.02</v>
      </c>
      <c r="H19" s="126"/>
      <c r="I19" s="127"/>
    </row>
    <row r="20" spans="1:9" x14ac:dyDescent="0.25">
      <c r="A20" s="106"/>
      <c r="B20" s="106"/>
      <c r="C20" s="107"/>
      <c r="D20" s="109"/>
      <c r="E20" s="109"/>
      <c r="F20" s="109"/>
    </row>
    <row r="21" spans="1:9" x14ac:dyDescent="0.25">
      <c r="A21" s="106"/>
      <c r="B21" s="106"/>
      <c r="C21" s="112"/>
      <c r="D21" s="109"/>
      <c r="E21" s="109"/>
      <c r="F21" s="109"/>
    </row>
    <row r="22" spans="1:9" x14ac:dyDescent="0.25">
      <c r="A22" s="106"/>
      <c r="B22" s="106"/>
      <c r="C22" s="113"/>
      <c r="D22" s="109"/>
      <c r="E22" s="109" t="s">
        <v>249</v>
      </c>
      <c r="F22" s="163">
        <f>SUM(F12:F21)</f>
        <v>16536617.560000001</v>
      </c>
    </row>
    <row r="25" spans="1:9" x14ac:dyDescent="0.25">
      <c r="A25" s="257" t="s">
        <v>183</v>
      </c>
      <c r="B25" s="257"/>
      <c r="E25" s="121"/>
      <c r="F25" s="123"/>
    </row>
    <row r="26" spans="1:9" x14ac:dyDescent="0.25">
      <c r="A26" s="257" t="s">
        <v>184</v>
      </c>
      <c r="B26" s="257"/>
      <c r="E26" s="121"/>
      <c r="F26" s="121"/>
    </row>
    <row r="27" spans="1:9" x14ac:dyDescent="0.25">
      <c r="A27" s="117"/>
      <c r="B27" s="121"/>
      <c r="E27" s="121"/>
      <c r="F27" s="121"/>
    </row>
    <row r="28" spans="1:9" x14ac:dyDescent="0.25">
      <c r="A28" s="117"/>
      <c r="B28" s="121"/>
      <c r="E28" s="121"/>
      <c r="F28" s="121"/>
    </row>
    <row r="29" spans="1:9" x14ac:dyDescent="0.25">
      <c r="A29" s="124"/>
      <c r="B29" s="103"/>
      <c r="E29" s="121"/>
      <c r="F29" s="121"/>
    </row>
    <row r="30" spans="1:9" x14ac:dyDescent="0.25">
      <c r="A30" s="101" t="s">
        <v>185</v>
      </c>
      <c r="E30" s="121"/>
      <c r="F30" s="121"/>
    </row>
  </sheetData>
  <mergeCells count="5">
    <mergeCell ref="A26:B26"/>
    <mergeCell ref="E5:F5"/>
    <mergeCell ref="A6:F6"/>
    <mergeCell ref="A8:D8"/>
    <mergeCell ref="A25:B25"/>
  </mergeCells>
  <pageMargins left="0.70866141732283472" right="0.34" top="1.7322834645669292" bottom="0.74803149606299213" header="0.31496062992125984" footer="0.31496062992125984"/>
  <pageSetup paperSize="9" scale="8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62"/>
  <sheetViews>
    <sheetView tabSelected="1" zoomScaleNormal="100" workbookViewId="0">
      <pane ySplit="4" topLeftCell="A5" activePane="bottomLeft" state="frozen"/>
      <selection pane="bottomLeft" activeCell="Q6" sqref="Q6"/>
    </sheetView>
  </sheetViews>
  <sheetFormatPr defaultColWidth="9.33203125" defaultRowHeight="12.75" x14ac:dyDescent="0.2"/>
  <cols>
    <col min="1" max="1" width="7.1640625" style="1" bestFit="1" customWidth="1"/>
    <col min="2" max="2" width="14.5" style="1" customWidth="1"/>
    <col min="3" max="3" width="39.1640625" style="1" customWidth="1"/>
    <col min="4" max="4" width="14.1640625" style="1" customWidth="1"/>
    <col min="5" max="5" width="15.83203125" style="1" customWidth="1"/>
    <col min="6" max="6" width="17" style="1" customWidth="1"/>
    <col min="7" max="7" width="17.1640625" style="1" bestFit="1" customWidth="1"/>
    <col min="8" max="8" width="19.6640625" style="1" bestFit="1" customWidth="1"/>
    <col min="9" max="9" width="15.83203125" style="1" customWidth="1"/>
    <col min="10" max="10" width="16" style="1" customWidth="1"/>
    <col min="11" max="11" width="17" style="1" customWidth="1"/>
    <col min="12" max="12" width="21.5" style="1" customWidth="1"/>
    <col min="13" max="13" width="20.5" style="1" customWidth="1"/>
    <col min="14" max="14" width="20.1640625" style="1" bestFit="1" customWidth="1"/>
    <col min="15" max="15" width="13.5" style="235" customWidth="1"/>
    <col min="16" max="16384" width="9.33203125" style="1"/>
  </cols>
  <sheetData>
    <row r="2" spans="1:18" ht="18.75" x14ac:dyDescent="0.2">
      <c r="A2" s="244" t="s">
        <v>29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182"/>
    </row>
    <row r="3" spans="1:18" x14ac:dyDescent="0.2">
      <c r="A3" s="263" t="s">
        <v>0</v>
      </c>
      <c r="B3" s="265" t="s">
        <v>254</v>
      </c>
      <c r="C3" s="267" t="s">
        <v>255</v>
      </c>
      <c r="D3" s="251" t="s">
        <v>32</v>
      </c>
      <c r="E3" s="253" t="s">
        <v>1</v>
      </c>
      <c r="F3" s="255" t="s">
        <v>21</v>
      </c>
      <c r="G3" s="255" t="s">
        <v>22</v>
      </c>
      <c r="H3" s="255" t="s">
        <v>23</v>
      </c>
      <c r="I3" s="255" t="s">
        <v>24</v>
      </c>
      <c r="J3" s="255" t="s">
        <v>25</v>
      </c>
      <c r="K3" s="255" t="s">
        <v>26</v>
      </c>
      <c r="L3" s="255" t="s">
        <v>27</v>
      </c>
      <c r="M3" s="255" t="s">
        <v>28</v>
      </c>
      <c r="N3" s="269" t="s">
        <v>253</v>
      </c>
      <c r="O3" s="270" t="s">
        <v>256</v>
      </c>
      <c r="P3" s="274" t="s">
        <v>259</v>
      </c>
      <c r="Q3" s="274" t="s">
        <v>260</v>
      </c>
      <c r="R3" s="274" t="s">
        <v>261</v>
      </c>
    </row>
    <row r="4" spans="1:18" ht="49.5" customHeight="1" x14ac:dyDescent="0.2">
      <c r="A4" s="264"/>
      <c r="B4" s="266"/>
      <c r="C4" s="268"/>
      <c r="D4" s="252"/>
      <c r="E4" s="254"/>
      <c r="F4" s="256"/>
      <c r="G4" s="256"/>
      <c r="H4" s="256"/>
      <c r="I4" s="256"/>
      <c r="J4" s="256"/>
      <c r="K4" s="256"/>
      <c r="L4" s="256"/>
      <c r="M4" s="256"/>
      <c r="N4" s="269"/>
      <c r="O4" s="270"/>
      <c r="P4" s="274"/>
      <c r="Q4" s="274"/>
      <c r="R4" s="274"/>
    </row>
    <row r="5" spans="1:18" ht="60" x14ac:dyDescent="0.2">
      <c r="A5" s="165">
        <v>1</v>
      </c>
      <c r="B5" s="7" t="s">
        <v>3</v>
      </c>
      <c r="C5" s="166" t="s">
        <v>120</v>
      </c>
      <c r="D5" s="185">
        <v>1</v>
      </c>
      <c r="E5" s="186">
        <v>16</v>
      </c>
      <c r="F5" s="165">
        <v>3</v>
      </c>
      <c r="G5" s="165">
        <v>0</v>
      </c>
      <c r="H5" s="165">
        <v>1150</v>
      </c>
      <c r="I5" s="165">
        <v>0</v>
      </c>
      <c r="J5" s="165">
        <v>16</v>
      </c>
      <c r="K5" s="165">
        <v>3</v>
      </c>
      <c r="L5" s="165">
        <v>17</v>
      </c>
      <c r="M5" s="165">
        <v>1</v>
      </c>
      <c r="N5" s="240">
        <v>45645</v>
      </c>
      <c r="O5" s="240">
        <v>45656</v>
      </c>
      <c r="P5" s="273"/>
      <c r="Q5" s="273"/>
      <c r="R5" s="273"/>
    </row>
    <row r="6" spans="1:18" ht="45" x14ac:dyDescent="0.2">
      <c r="A6" s="165">
        <v>2</v>
      </c>
      <c r="B6" s="7" t="s">
        <v>6</v>
      </c>
      <c r="C6" s="166" t="s">
        <v>67</v>
      </c>
      <c r="D6" s="167">
        <v>1</v>
      </c>
      <c r="E6" s="187">
        <v>16</v>
      </c>
      <c r="F6" s="165">
        <v>3</v>
      </c>
      <c r="G6" s="165">
        <v>0</v>
      </c>
      <c r="H6" s="165">
        <v>1200</v>
      </c>
      <c r="I6" s="165">
        <v>0</v>
      </c>
      <c r="J6" s="165">
        <v>16</v>
      </c>
      <c r="K6" s="165">
        <v>3</v>
      </c>
      <c r="L6" s="165">
        <v>16</v>
      </c>
      <c r="M6" s="165">
        <v>3</v>
      </c>
      <c r="N6" s="240">
        <v>45645</v>
      </c>
      <c r="O6" s="240">
        <v>45649</v>
      </c>
      <c r="P6" s="273"/>
      <c r="Q6" s="273"/>
      <c r="R6" s="273"/>
    </row>
    <row r="7" spans="1:18" ht="45" x14ac:dyDescent="0.2">
      <c r="A7" s="165">
        <v>3</v>
      </c>
      <c r="B7" s="7" t="s">
        <v>7</v>
      </c>
      <c r="C7" s="166" t="s">
        <v>68</v>
      </c>
      <c r="D7" s="167">
        <v>4</v>
      </c>
      <c r="E7" s="168">
        <v>64</v>
      </c>
      <c r="F7" s="165">
        <v>1</v>
      </c>
      <c r="G7" s="165">
        <v>3</v>
      </c>
      <c r="H7" s="165">
        <f>472+362+435+418+455+443+416+315</f>
        <v>3316</v>
      </c>
      <c r="I7" s="165">
        <v>3</v>
      </c>
      <c r="J7" s="165">
        <v>64</v>
      </c>
      <c r="K7" s="165">
        <v>81</v>
      </c>
      <c r="L7" s="165">
        <v>64</v>
      </c>
      <c r="M7" s="165">
        <v>4</v>
      </c>
      <c r="N7" s="240">
        <v>45645</v>
      </c>
      <c r="O7" s="240">
        <v>45657</v>
      </c>
      <c r="P7" s="273"/>
      <c r="Q7" s="273"/>
      <c r="R7" s="273"/>
    </row>
    <row r="8" spans="1:18" ht="45" x14ac:dyDescent="0.2">
      <c r="A8" s="10">
        <v>4</v>
      </c>
      <c r="B8" s="26" t="s">
        <v>69</v>
      </c>
      <c r="C8" s="28" t="s">
        <v>70</v>
      </c>
      <c r="D8" s="57">
        <v>5</v>
      </c>
      <c r="E8" s="58">
        <v>80</v>
      </c>
      <c r="F8" s="10">
        <v>0</v>
      </c>
      <c r="G8" s="10">
        <v>5</v>
      </c>
      <c r="H8" s="10">
        <f>1060+960+1000+980+1080</f>
        <v>5080</v>
      </c>
      <c r="I8" s="10">
        <v>5</v>
      </c>
      <c r="J8" s="10">
        <v>80</v>
      </c>
      <c r="K8" s="10">
        <v>85</v>
      </c>
      <c r="L8" s="10">
        <v>80</v>
      </c>
      <c r="M8" s="10">
        <v>5</v>
      </c>
      <c r="N8" s="240">
        <v>45646</v>
      </c>
      <c r="O8" s="240"/>
      <c r="P8" s="273"/>
      <c r="Q8" s="273"/>
      <c r="R8" s="273"/>
    </row>
    <row r="9" spans="1:18" ht="45" x14ac:dyDescent="0.2">
      <c r="A9" s="10">
        <v>5</v>
      </c>
      <c r="B9" s="26" t="s">
        <v>8</v>
      </c>
      <c r="C9" s="28" t="s">
        <v>71</v>
      </c>
      <c r="D9" s="35">
        <v>7</v>
      </c>
      <c r="E9" s="30">
        <v>112</v>
      </c>
      <c r="F9" s="10">
        <v>22</v>
      </c>
      <c r="G9" s="10">
        <v>0</v>
      </c>
      <c r="H9" s="10">
        <f>560+430+98+690+420+95+480+400+160+880+380+110+460+350+98+280</f>
        <v>5891</v>
      </c>
      <c r="I9" s="10">
        <v>0</v>
      </c>
      <c r="J9" s="10">
        <v>112</v>
      </c>
      <c r="K9" s="10">
        <v>0</v>
      </c>
      <c r="L9" s="10">
        <v>118</v>
      </c>
      <c r="M9" s="10">
        <v>6</v>
      </c>
      <c r="N9" s="240">
        <v>45646</v>
      </c>
      <c r="O9" s="240"/>
      <c r="P9" s="273"/>
      <c r="Q9" s="273"/>
      <c r="R9" s="273"/>
    </row>
    <row r="10" spans="1:18" ht="21" customHeight="1" x14ac:dyDescent="0.2">
      <c r="A10" s="165">
        <v>6</v>
      </c>
      <c r="B10" s="222" t="s">
        <v>20</v>
      </c>
      <c r="C10" s="166" t="s">
        <v>72</v>
      </c>
      <c r="D10" s="167">
        <v>1</v>
      </c>
      <c r="E10" s="223">
        <v>16</v>
      </c>
      <c r="F10" s="165">
        <v>3</v>
      </c>
      <c r="G10" s="165">
        <v>0</v>
      </c>
      <c r="H10" s="165">
        <f>114+134+94+78+130+110+70+61+56+54+135</f>
        <v>1036</v>
      </c>
      <c r="I10" s="165">
        <v>0</v>
      </c>
      <c r="J10" s="165">
        <v>16</v>
      </c>
      <c r="K10" s="165">
        <v>18</v>
      </c>
      <c r="L10" s="165">
        <v>16</v>
      </c>
      <c r="M10" s="165">
        <v>1</v>
      </c>
      <c r="N10" s="240">
        <v>45646</v>
      </c>
      <c r="O10" s="240">
        <v>45667</v>
      </c>
      <c r="P10" s="273"/>
      <c r="Q10" s="273"/>
      <c r="R10" s="273"/>
    </row>
    <row r="11" spans="1:18" ht="75" x14ac:dyDescent="0.2">
      <c r="A11" s="165">
        <v>7</v>
      </c>
      <c r="B11" s="7" t="s">
        <v>73</v>
      </c>
      <c r="C11" s="166" t="s">
        <v>126</v>
      </c>
      <c r="D11" s="167">
        <v>1</v>
      </c>
      <c r="E11" s="168">
        <v>16</v>
      </c>
      <c r="F11" s="165">
        <v>3</v>
      </c>
      <c r="G11" s="165">
        <v>0</v>
      </c>
      <c r="H11" s="165">
        <f>86+212+181+63+51+57+116+63+46+183</f>
        <v>1058</v>
      </c>
      <c r="I11" s="165">
        <v>0</v>
      </c>
      <c r="J11" s="165">
        <v>16</v>
      </c>
      <c r="K11" s="165">
        <v>12</v>
      </c>
      <c r="L11" s="165">
        <v>19</v>
      </c>
      <c r="M11" s="165">
        <v>2</v>
      </c>
      <c r="N11" s="240">
        <v>45646</v>
      </c>
      <c r="O11" s="240">
        <v>45660</v>
      </c>
      <c r="P11" s="273"/>
      <c r="Q11" s="273"/>
      <c r="R11" s="273"/>
    </row>
    <row r="12" spans="1:18" ht="60" x14ac:dyDescent="0.2">
      <c r="A12" s="165">
        <v>8</v>
      </c>
      <c r="B12" s="7" t="s">
        <v>9</v>
      </c>
      <c r="C12" s="166" t="s">
        <v>127</v>
      </c>
      <c r="D12" s="167">
        <v>1</v>
      </c>
      <c r="E12" s="168">
        <v>16</v>
      </c>
      <c r="F12" s="165">
        <v>3</v>
      </c>
      <c r="G12" s="165">
        <v>0</v>
      </c>
      <c r="H12" s="165">
        <f>270+95+140+100+250</f>
        <v>855</v>
      </c>
      <c r="I12" s="165">
        <v>0</v>
      </c>
      <c r="J12" s="165">
        <v>16</v>
      </c>
      <c r="K12" s="165">
        <v>6</v>
      </c>
      <c r="L12" s="165">
        <v>16</v>
      </c>
      <c r="M12" s="165">
        <v>1</v>
      </c>
      <c r="N12" s="240">
        <v>45646</v>
      </c>
      <c r="O12" s="240">
        <v>45666</v>
      </c>
      <c r="P12" s="273"/>
      <c r="Q12" s="273"/>
      <c r="R12" s="273"/>
    </row>
    <row r="13" spans="1:18" ht="30" x14ac:dyDescent="0.2">
      <c r="A13" s="165">
        <v>9</v>
      </c>
      <c r="B13" s="7" t="s">
        <v>10</v>
      </c>
      <c r="C13" s="166" t="s">
        <v>128</v>
      </c>
      <c r="D13" s="167">
        <v>1</v>
      </c>
      <c r="E13" s="188">
        <v>16</v>
      </c>
      <c r="F13" s="165">
        <v>3</v>
      </c>
      <c r="G13" s="165">
        <v>0</v>
      </c>
      <c r="H13" s="165">
        <v>1600</v>
      </c>
      <c r="I13" s="165">
        <v>0</v>
      </c>
      <c r="J13" s="165">
        <v>16</v>
      </c>
      <c r="K13" s="165">
        <v>1</v>
      </c>
      <c r="L13" s="165">
        <v>16</v>
      </c>
      <c r="M13" s="165">
        <v>2</v>
      </c>
      <c r="N13" s="240">
        <v>45646</v>
      </c>
      <c r="O13" s="240">
        <v>45650</v>
      </c>
      <c r="P13" s="273"/>
      <c r="Q13" s="273"/>
      <c r="R13" s="273"/>
    </row>
    <row r="14" spans="1:18" ht="60" x14ac:dyDescent="0.2">
      <c r="A14" s="165">
        <v>10</v>
      </c>
      <c r="B14" s="7" t="s">
        <v>10</v>
      </c>
      <c r="C14" s="166" t="s">
        <v>74</v>
      </c>
      <c r="D14" s="189">
        <v>1</v>
      </c>
      <c r="E14" s="188">
        <v>16</v>
      </c>
      <c r="F14" s="165">
        <v>3</v>
      </c>
      <c r="G14" s="165">
        <v>0</v>
      </c>
      <c r="H14" s="165">
        <v>1550</v>
      </c>
      <c r="I14" s="165">
        <v>0</v>
      </c>
      <c r="J14" s="165">
        <v>16</v>
      </c>
      <c r="K14" s="165">
        <v>1</v>
      </c>
      <c r="L14" s="165">
        <v>16</v>
      </c>
      <c r="M14" s="165">
        <v>2</v>
      </c>
      <c r="N14" s="240">
        <v>45646</v>
      </c>
      <c r="O14" s="240">
        <v>45652</v>
      </c>
      <c r="P14" s="273"/>
      <c r="Q14" s="273"/>
      <c r="R14" s="273"/>
    </row>
    <row r="15" spans="1:18" ht="60" x14ac:dyDescent="0.2">
      <c r="A15" s="165">
        <v>11</v>
      </c>
      <c r="B15" s="7" t="s">
        <v>11</v>
      </c>
      <c r="C15" s="166" t="s">
        <v>130</v>
      </c>
      <c r="D15" s="167">
        <v>1</v>
      </c>
      <c r="E15" s="221">
        <v>16</v>
      </c>
      <c r="F15" s="165">
        <v>4</v>
      </c>
      <c r="G15" s="165">
        <v>0</v>
      </c>
      <c r="H15" s="165">
        <f>360+400+410+540</f>
        <v>1710</v>
      </c>
      <c r="I15" s="165">
        <v>0</v>
      </c>
      <c r="J15" s="165">
        <v>16</v>
      </c>
      <c r="K15" s="165">
        <v>1</v>
      </c>
      <c r="L15" s="165">
        <v>16</v>
      </c>
      <c r="M15" s="165">
        <v>3</v>
      </c>
      <c r="N15" s="240">
        <v>45646</v>
      </c>
      <c r="O15" s="240">
        <v>38389</v>
      </c>
      <c r="P15" s="273"/>
      <c r="Q15" s="273"/>
      <c r="R15" s="273"/>
    </row>
    <row r="16" spans="1:18" ht="60" x14ac:dyDescent="0.2">
      <c r="A16" s="165">
        <v>12</v>
      </c>
      <c r="B16" s="7" t="s">
        <v>11</v>
      </c>
      <c r="C16" s="166" t="s">
        <v>129</v>
      </c>
      <c r="D16" s="167">
        <v>1</v>
      </c>
      <c r="E16" s="168">
        <v>16</v>
      </c>
      <c r="F16" s="165">
        <v>3</v>
      </c>
      <c r="G16" s="165">
        <v>0</v>
      </c>
      <c r="H16" s="165">
        <v>1304</v>
      </c>
      <c r="I16" s="165">
        <v>0</v>
      </c>
      <c r="J16" s="165">
        <v>16</v>
      </c>
      <c r="K16" s="165">
        <v>0</v>
      </c>
      <c r="L16" s="165">
        <v>16</v>
      </c>
      <c r="M16" s="165">
        <v>2</v>
      </c>
      <c r="N16" s="240">
        <v>45646</v>
      </c>
      <c r="O16" s="240">
        <v>45670</v>
      </c>
      <c r="P16" s="273"/>
      <c r="Q16" s="273"/>
      <c r="R16" s="273"/>
    </row>
    <row r="17" spans="1:18" ht="30" x14ac:dyDescent="0.2">
      <c r="A17" s="165">
        <v>13</v>
      </c>
      <c r="B17" s="7" t="s">
        <v>12</v>
      </c>
      <c r="C17" s="166" t="s">
        <v>131</v>
      </c>
      <c r="D17" s="190">
        <v>2</v>
      </c>
      <c r="E17" s="191">
        <v>32</v>
      </c>
      <c r="F17" s="165">
        <v>6</v>
      </c>
      <c r="G17" s="165">
        <v>0</v>
      </c>
      <c r="H17" s="165">
        <f>1210+1320+190</f>
        <v>2720</v>
      </c>
      <c r="I17" s="165">
        <v>0</v>
      </c>
      <c r="J17" s="165">
        <v>32</v>
      </c>
      <c r="K17" s="165">
        <v>6</v>
      </c>
      <c r="L17" s="165">
        <v>32</v>
      </c>
      <c r="M17" s="165">
        <v>2</v>
      </c>
      <c r="N17" s="240">
        <v>45647</v>
      </c>
      <c r="O17" s="240">
        <v>45653</v>
      </c>
      <c r="P17" s="273"/>
      <c r="Q17" s="273"/>
      <c r="R17" s="273"/>
    </row>
    <row r="18" spans="1:18" ht="30" x14ac:dyDescent="0.2">
      <c r="A18" s="165">
        <v>14</v>
      </c>
      <c r="B18" s="7" t="s">
        <v>12</v>
      </c>
      <c r="C18" s="166" t="s">
        <v>132</v>
      </c>
      <c r="D18" s="214">
        <v>3</v>
      </c>
      <c r="E18" s="215">
        <v>48</v>
      </c>
      <c r="F18" s="165">
        <v>1</v>
      </c>
      <c r="G18" s="165">
        <v>2</v>
      </c>
      <c r="H18" s="165">
        <f>1180+1370</f>
        <v>2550</v>
      </c>
      <c r="I18" s="165">
        <v>2</v>
      </c>
      <c r="J18" s="165">
        <v>48</v>
      </c>
      <c r="K18" s="165">
        <v>51</v>
      </c>
      <c r="L18" s="165">
        <v>48</v>
      </c>
      <c r="M18" s="165">
        <v>2</v>
      </c>
      <c r="N18" s="240">
        <v>45646</v>
      </c>
      <c r="O18" s="240">
        <v>45663</v>
      </c>
      <c r="P18" s="273"/>
      <c r="Q18" s="273"/>
      <c r="R18" s="273"/>
    </row>
    <row r="19" spans="1:18" ht="60" x14ac:dyDescent="0.2">
      <c r="A19" s="165">
        <v>15</v>
      </c>
      <c r="B19" s="7" t="s">
        <v>12</v>
      </c>
      <c r="C19" s="166" t="s">
        <v>133</v>
      </c>
      <c r="D19" s="167">
        <v>1</v>
      </c>
      <c r="E19" s="188">
        <v>16</v>
      </c>
      <c r="F19" s="165">
        <v>4</v>
      </c>
      <c r="G19" s="165">
        <v>0</v>
      </c>
      <c r="H19" s="165">
        <f>650+750</f>
        <v>1400</v>
      </c>
      <c r="I19" s="165">
        <v>0</v>
      </c>
      <c r="J19" s="165">
        <v>16</v>
      </c>
      <c r="K19" s="165">
        <v>4</v>
      </c>
      <c r="L19" s="165">
        <v>16</v>
      </c>
      <c r="M19" s="165">
        <v>2</v>
      </c>
      <c r="N19" s="240">
        <v>45646</v>
      </c>
      <c r="O19" s="240">
        <v>45666</v>
      </c>
      <c r="P19" s="273"/>
      <c r="Q19" s="273"/>
      <c r="R19" s="273"/>
    </row>
    <row r="20" spans="1:18" ht="45" x14ac:dyDescent="0.2">
      <c r="A20" s="165">
        <v>16</v>
      </c>
      <c r="B20" s="7" t="s">
        <v>13</v>
      </c>
      <c r="C20" s="216" t="s">
        <v>75</v>
      </c>
      <c r="D20" s="224">
        <v>1</v>
      </c>
      <c r="E20" s="225">
        <v>16</v>
      </c>
      <c r="F20" s="165">
        <v>3</v>
      </c>
      <c r="G20" s="165">
        <v>0</v>
      </c>
      <c r="H20" s="165">
        <f>120+180+150+88+135+90+190+120+400+150</f>
        <v>1623</v>
      </c>
      <c r="I20" s="165">
        <v>0</v>
      </c>
      <c r="J20" s="165">
        <v>16</v>
      </c>
      <c r="K20" s="165">
        <v>22</v>
      </c>
      <c r="L20" s="165">
        <v>16</v>
      </c>
      <c r="M20" s="165">
        <v>2</v>
      </c>
      <c r="N20" s="240">
        <v>45647</v>
      </c>
      <c r="O20" s="240">
        <v>45675</v>
      </c>
      <c r="P20" s="273"/>
      <c r="Q20" s="273"/>
      <c r="R20" s="273"/>
    </row>
    <row r="21" spans="1:18" ht="75" x14ac:dyDescent="0.2">
      <c r="A21" s="165">
        <v>17</v>
      </c>
      <c r="B21" s="7" t="s">
        <v>13</v>
      </c>
      <c r="C21" s="216" t="s">
        <v>155</v>
      </c>
      <c r="D21" s="167">
        <v>1</v>
      </c>
      <c r="E21" s="217">
        <v>16</v>
      </c>
      <c r="F21" s="165">
        <v>3</v>
      </c>
      <c r="G21" s="165">
        <v>0</v>
      </c>
      <c r="H21" s="165">
        <v>965</v>
      </c>
      <c r="I21" s="165">
        <v>0</v>
      </c>
      <c r="J21" s="165">
        <v>16</v>
      </c>
      <c r="K21" s="165">
        <v>6</v>
      </c>
      <c r="L21" s="165">
        <v>16</v>
      </c>
      <c r="M21" s="165">
        <v>0</v>
      </c>
      <c r="N21" s="240">
        <v>45646</v>
      </c>
      <c r="O21" s="240">
        <v>45657</v>
      </c>
      <c r="P21" s="273"/>
      <c r="Q21" s="273"/>
      <c r="R21" s="273"/>
    </row>
    <row r="22" spans="1:18" ht="45" x14ac:dyDescent="0.2">
      <c r="A22" s="165">
        <v>18</v>
      </c>
      <c r="B22" s="7" t="s">
        <v>14</v>
      </c>
      <c r="C22" s="166" t="s">
        <v>76</v>
      </c>
      <c r="D22" s="238">
        <v>6</v>
      </c>
      <c r="E22" s="239">
        <v>96</v>
      </c>
      <c r="F22" s="165">
        <v>3</v>
      </c>
      <c r="G22" s="165">
        <v>4</v>
      </c>
      <c r="H22" s="165">
        <f>364+413+552+613+715+588+666+418+490+470+660+65+45+110+70+175+240</f>
        <v>6654</v>
      </c>
      <c r="I22" s="165">
        <v>4</v>
      </c>
      <c r="J22" s="165">
        <v>96</v>
      </c>
      <c r="K22" s="165">
        <v>84</v>
      </c>
      <c r="L22" s="165">
        <v>96</v>
      </c>
      <c r="M22" s="165">
        <v>5</v>
      </c>
      <c r="N22" s="240">
        <v>45645</v>
      </c>
      <c r="O22" s="240">
        <v>45679</v>
      </c>
      <c r="P22" s="273"/>
      <c r="Q22" s="273"/>
      <c r="R22" s="273"/>
    </row>
    <row r="23" spans="1:18" ht="45" x14ac:dyDescent="0.2">
      <c r="A23" s="165">
        <v>19</v>
      </c>
      <c r="B23" s="7" t="s">
        <v>14</v>
      </c>
      <c r="C23" s="166" t="s">
        <v>134</v>
      </c>
      <c r="D23" s="167">
        <v>1</v>
      </c>
      <c r="E23" s="188">
        <v>16</v>
      </c>
      <c r="F23" s="165">
        <v>3</v>
      </c>
      <c r="G23" s="165">
        <v>0</v>
      </c>
      <c r="H23" s="165">
        <f>480+118+230+307+108+113+157</f>
        <v>1513</v>
      </c>
      <c r="I23" s="165">
        <v>0</v>
      </c>
      <c r="J23" s="165">
        <v>16</v>
      </c>
      <c r="K23" s="165">
        <v>2</v>
      </c>
      <c r="L23" s="165">
        <v>16</v>
      </c>
      <c r="M23" s="165">
        <v>1</v>
      </c>
      <c r="N23" s="240">
        <v>45645</v>
      </c>
      <c r="O23" s="240">
        <v>45660</v>
      </c>
      <c r="P23" s="273"/>
      <c r="Q23" s="273"/>
      <c r="R23" s="273"/>
    </row>
    <row r="24" spans="1:18" ht="45" x14ac:dyDescent="0.2">
      <c r="A24" s="165">
        <v>20</v>
      </c>
      <c r="B24" s="7" t="s">
        <v>14</v>
      </c>
      <c r="C24" s="166" t="s">
        <v>135</v>
      </c>
      <c r="D24" s="190">
        <v>2</v>
      </c>
      <c r="E24" s="168">
        <v>32</v>
      </c>
      <c r="F24" s="165">
        <v>2</v>
      </c>
      <c r="G24" s="165">
        <v>1</v>
      </c>
      <c r="H24" s="165">
        <f>650+680+660+98</f>
        <v>2088</v>
      </c>
      <c r="I24" s="165">
        <v>1</v>
      </c>
      <c r="J24" s="165">
        <v>32</v>
      </c>
      <c r="K24" s="165">
        <v>21</v>
      </c>
      <c r="L24" s="165">
        <v>35</v>
      </c>
      <c r="M24" s="165">
        <v>2</v>
      </c>
      <c r="N24" s="240">
        <v>45645</v>
      </c>
      <c r="O24" s="240">
        <v>45678</v>
      </c>
      <c r="P24" s="273"/>
      <c r="Q24" s="273"/>
      <c r="R24" s="273"/>
    </row>
    <row r="25" spans="1:18" ht="60" x14ac:dyDescent="0.2">
      <c r="A25" s="165">
        <v>21</v>
      </c>
      <c r="B25" s="7" t="s">
        <v>77</v>
      </c>
      <c r="C25" s="166" t="s">
        <v>136</v>
      </c>
      <c r="D25" s="167">
        <v>1</v>
      </c>
      <c r="E25" s="168">
        <v>16</v>
      </c>
      <c r="F25" s="165">
        <v>0</v>
      </c>
      <c r="G25" s="165">
        <v>1</v>
      </c>
      <c r="H25" s="165">
        <f>390+180+190+240</f>
        <v>1000</v>
      </c>
      <c r="I25" s="165">
        <v>1</v>
      </c>
      <c r="J25" s="165">
        <v>16</v>
      </c>
      <c r="K25" s="165">
        <v>17</v>
      </c>
      <c r="L25" s="165">
        <v>17</v>
      </c>
      <c r="M25" s="165">
        <v>1</v>
      </c>
      <c r="N25" s="240">
        <v>45645</v>
      </c>
      <c r="O25" s="240">
        <v>45663</v>
      </c>
      <c r="P25" s="273"/>
      <c r="Q25" s="273"/>
      <c r="R25" s="273"/>
    </row>
    <row r="26" spans="1:18" ht="30" x14ac:dyDescent="0.2">
      <c r="A26" s="165">
        <v>22</v>
      </c>
      <c r="B26" s="212" t="s">
        <v>78</v>
      </c>
      <c r="C26" s="166" t="s">
        <v>79</v>
      </c>
      <c r="D26" s="213">
        <v>2</v>
      </c>
      <c r="E26" s="187">
        <v>32</v>
      </c>
      <c r="F26" s="165">
        <v>2</v>
      </c>
      <c r="G26" s="165">
        <v>1</v>
      </c>
      <c r="H26" s="165">
        <f>170+200+340+365+234+198+170+90+55+135+105+40+100+180</f>
        <v>2382</v>
      </c>
      <c r="I26" s="165">
        <v>1</v>
      </c>
      <c r="J26" s="165">
        <v>32</v>
      </c>
      <c r="K26" s="165">
        <v>26</v>
      </c>
      <c r="L26" s="165">
        <v>32</v>
      </c>
      <c r="M26" s="165">
        <v>2</v>
      </c>
      <c r="N26" s="240">
        <v>45646</v>
      </c>
      <c r="O26" s="240">
        <v>45657</v>
      </c>
      <c r="P26" s="273"/>
      <c r="Q26" s="273"/>
      <c r="R26" s="273"/>
    </row>
    <row r="27" spans="1:18" ht="60" x14ac:dyDescent="0.2">
      <c r="A27" s="165">
        <v>23</v>
      </c>
      <c r="B27" s="7" t="s">
        <v>80</v>
      </c>
      <c r="C27" s="216" t="s">
        <v>81</v>
      </c>
      <c r="D27" s="236">
        <v>9</v>
      </c>
      <c r="E27" s="237">
        <v>144</v>
      </c>
      <c r="F27" s="165">
        <v>3</v>
      </c>
      <c r="G27" s="165">
        <v>7</v>
      </c>
      <c r="H27" s="165">
        <f>390+310+400+350+450+300+370+470+340+370+410+360+300+470+560+490+450+410</f>
        <v>7200</v>
      </c>
      <c r="I27" s="165">
        <v>7</v>
      </c>
      <c r="J27" s="165">
        <v>144</v>
      </c>
      <c r="K27" s="165">
        <v>147</v>
      </c>
      <c r="L27" s="165">
        <v>149</v>
      </c>
      <c r="M27" s="165">
        <v>8</v>
      </c>
      <c r="N27" s="240">
        <v>45646</v>
      </c>
      <c r="O27" s="240">
        <v>45687</v>
      </c>
      <c r="P27" s="273"/>
      <c r="Q27" s="273"/>
      <c r="R27" s="273"/>
    </row>
    <row r="28" spans="1:18" ht="60" x14ac:dyDescent="0.2">
      <c r="A28" s="165">
        <v>24</v>
      </c>
      <c r="B28" s="192" t="s">
        <v>82</v>
      </c>
      <c r="C28" s="193" t="s">
        <v>83</v>
      </c>
      <c r="D28" s="194">
        <v>1</v>
      </c>
      <c r="E28" s="195">
        <v>16</v>
      </c>
      <c r="F28" s="165">
        <v>3</v>
      </c>
      <c r="G28" s="165">
        <v>0</v>
      </c>
      <c r="H28" s="165">
        <f>238+39+28+64+80+45+50+55</f>
        <v>599</v>
      </c>
      <c r="I28" s="165">
        <v>0</v>
      </c>
      <c r="J28" s="165">
        <v>16</v>
      </c>
      <c r="K28" s="165">
        <v>3</v>
      </c>
      <c r="L28" s="165">
        <v>16</v>
      </c>
      <c r="M28" s="165">
        <v>1</v>
      </c>
      <c r="N28" s="240">
        <v>45646</v>
      </c>
      <c r="O28" s="240">
        <v>45653</v>
      </c>
      <c r="P28" s="273"/>
      <c r="Q28" s="273"/>
      <c r="R28" s="273"/>
    </row>
    <row r="29" spans="1:18" ht="30" x14ac:dyDescent="0.2">
      <c r="A29" s="165">
        <v>25</v>
      </c>
      <c r="B29" s="192" t="s">
        <v>84</v>
      </c>
      <c r="C29" s="193" t="s">
        <v>85</v>
      </c>
      <c r="D29" s="196">
        <v>1</v>
      </c>
      <c r="E29" s="198">
        <v>16</v>
      </c>
      <c r="F29" s="165">
        <v>3</v>
      </c>
      <c r="G29" s="165">
        <v>0</v>
      </c>
      <c r="H29" s="165">
        <f>179+110+121+173+35+180</f>
        <v>798</v>
      </c>
      <c r="I29" s="165">
        <v>0</v>
      </c>
      <c r="J29" s="165">
        <v>16</v>
      </c>
      <c r="K29" s="165">
        <v>0</v>
      </c>
      <c r="L29" s="165">
        <v>16</v>
      </c>
      <c r="M29" s="165">
        <v>1</v>
      </c>
      <c r="N29" s="240">
        <v>45646</v>
      </c>
      <c r="O29" s="240">
        <v>45653</v>
      </c>
      <c r="P29" s="273"/>
      <c r="Q29" s="273"/>
      <c r="R29" s="273"/>
    </row>
    <row r="30" spans="1:18" ht="45" x14ac:dyDescent="0.2">
      <c r="A30" s="165">
        <v>26</v>
      </c>
      <c r="B30" s="192" t="s">
        <v>15</v>
      </c>
      <c r="C30" s="193" t="s">
        <v>137</v>
      </c>
      <c r="D30" s="196">
        <v>1</v>
      </c>
      <c r="E30" s="197">
        <v>16</v>
      </c>
      <c r="F30" s="165">
        <v>3</v>
      </c>
      <c r="G30" s="165">
        <v>0</v>
      </c>
      <c r="H30" s="165">
        <f>190+270+88+67+60+117+155+280</f>
        <v>1227</v>
      </c>
      <c r="I30" s="165">
        <v>0</v>
      </c>
      <c r="J30" s="165">
        <v>16</v>
      </c>
      <c r="K30" s="165">
        <v>2</v>
      </c>
      <c r="L30" s="165">
        <v>16</v>
      </c>
      <c r="M30" s="165">
        <v>1</v>
      </c>
      <c r="N30" s="240">
        <v>45647</v>
      </c>
      <c r="O30" s="240">
        <v>45654</v>
      </c>
      <c r="P30" s="273"/>
      <c r="Q30" s="273"/>
      <c r="R30" s="273"/>
    </row>
    <row r="31" spans="1:18" ht="75" x14ac:dyDescent="0.2">
      <c r="A31" s="165">
        <v>27</v>
      </c>
      <c r="B31" s="192" t="s">
        <v>86</v>
      </c>
      <c r="C31" s="193" t="s">
        <v>87</v>
      </c>
      <c r="D31" s="196">
        <v>1</v>
      </c>
      <c r="E31" s="198">
        <v>16</v>
      </c>
      <c r="F31" s="165">
        <v>3</v>
      </c>
      <c r="G31" s="165">
        <v>0</v>
      </c>
      <c r="H31" s="165">
        <f>98+36+66+110+137+29+152+90</f>
        <v>718</v>
      </c>
      <c r="I31" s="165">
        <v>0</v>
      </c>
      <c r="J31" s="165">
        <v>16</v>
      </c>
      <c r="K31" s="165">
        <v>1</v>
      </c>
      <c r="L31" s="165">
        <v>16</v>
      </c>
      <c r="M31" s="165">
        <v>2</v>
      </c>
      <c r="N31" s="240">
        <v>45647</v>
      </c>
      <c r="O31" s="240">
        <v>45653</v>
      </c>
      <c r="P31" s="273"/>
      <c r="Q31" s="273"/>
      <c r="R31" s="273"/>
    </row>
    <row r="32" spans="1:18" ht="60" x14ac:dyDescent="0.2">
      <c r="A32" s="165">
        <v>28</v>
      </c>
      <c r="B32" s="192" t="s">
        <v>88</v>
      </c>
      <c r="C32" s="226" t="s">
        <v>89</v>
      </c>
      <c r="D32" s="196">
        <v>1</v>
      </c>
      <c r="E32" s="203">
        <v>16</v>
      </c>
      <c r="F32" s="165">
        <v>0</v>
      </c>
      <c r="G32" s="165">
        <v>1</v>
      </c>
      <c r="H32" s="165">
        <v>1027</v>
      </c>
      <c r="I32" s="165">
        <v>1</v>
      </c>
      <c r="J32" s="165">
        <v>16</v>
      </c>
      <c r="K32" s="165">
        <v>17</v>
      </c>
      <c r="L32" s="165">
        <v>16</v>
      </c>
      <c r="M32" s="165">
        <v>1</v>
      </c>
      <c r="N32" s="240">
        <v>45647</v>
      </c>
      <c r="O32" s="240">
        <v>45670</v>
      </c>
      <c r="P32" s="273"/>
      <c r="Q32" s="273"/>
      <c r="R32" s="273"/>
    </row>
    <row r="33" spans="1:18" ht="60" x14ac:dyDescent="0.2">
      <c r="A33" s="165">
        <v>29</v>
      </c>
      <c r="B33" s="192" t="s">
        <v>16</v>
      </c>
      <c r="C33" s="193" t="s">
        <v>138</v>
      </c>
      <c r="D33" s="196">
        <v>3</v>
      </c>
      <c r="E33" s="199">
        <v>48</v>
      </c>
      <c r="F33" s="165">
        <v>6</v>
      </c>
      <c r="G33" s="165">
        <v>1</v>
      </c>
      <c r="H33" s="165">
        <f>65+160+93+455+200+62+60+90+70+215+240+234+120+55+147+400</f>
        <v>2666</v>
      </c>
      <c r="I33" s="165">
        <v>1</v>
      </c>
      <c r="J33" s="165">
        <v>48</v>
      </c>
      <c r="K33" s="165">
        <v>18</v>
      </c>
      <c r="L33" s="165">
        <v>48</v>
      </c>
      <c r="M33" s="165">
        <v>5</v>
      </c>
      <c r="N33" s="240">
        <v>45649</v>
      </c>
      <c r="O33" s="240">
        <v>45680</v>
      </c>
      <c r="P33" s="273"/>
      <c r="Q33" s="273"/>
      <c r="R33" s="273"/>
    </row>
    <row r="34" spans="1:18" ht="60" x14ac:dyDescent="0.2">
      <c r="A34" s="165">
        <v>30</v>
      </c>
      <c r="B34" s="192" t="s">
        <v>16</v>
      </c>
      <c r="C34" s="193" t="s">
        <v>139</v>
      </c>
      <c r="D34" s="227">
        <v>2</v>
      </c>
      <c r="E34" s="199">
        <v>32</v>
      </c>
      <c r="F34" s="165">
        <v>4</v>
      </c>
      <c r="G34" s="165">
        <v>1</v>
      </c>
      <c r="H34" s="165">
        <f>434+88+149+35+333+79+42+55+120+40+90</f>
        <v>1465</v>
      </c>
      <c r="I34" s="165">
        <v>1</v>
      </c>
      <c r="J34" s="165">
        <v>32</v>
      </c>
      <c r="K34" s="165">
        <v>16</v>
      </c>
      <c r="L34" s="165">
        <v>32</v>
      </c>
      <c r="M34" s="165">
        <v>4</v>
      </c>
      <c r="N34" s="240">
        <v>45646</v>
      </c>
      <c r="O34" s="240">
        <v>45674</v>
      </c>
      <c r="P34" s="273"/>
      <c r="Q34" s="273"/>
      <c r="R34" s="273"/>
    </row>
    <row r="35" spans="1:18" ht="45" x14ac:dyDescent="0.2">
      <c r="A35" s="165">
        <v>31</v>
      </c>
      <c r="B35" s="210" t="s">
        <v>90</v>
      </c>
      <c r="C35" s="193" t="s">
        <v>161</v>
      </c>
      <c r="D35" s="196">
        <v>1</v>
      </c>
      <c r="E35" s="201">
        <v>16</v>
      </c>
      <c r="F35" s="165">
        <v>4</v>
      </c>
      <c r="G35" s="165">
        <v>0</v>
      </c>
      <c r="H35" s="165">
        <f>256+150+75+95+95+210+75+80+55+55+98</f>
        <v>1244</v>
      </c>
      <c r="I35" s="165">
        <v>0</v>
      </c>
      <c r="J35" s="165">
        <v>16</v>
      </c>
      <c r="K35" s="165">
        <v>2</v>
      </c>
      <c r="L35" s="165">
        <v>16</v>
      </c>
      <c r="M35" s="165">
        <v>2</v>
      </c>
      <c r="N35" s="240">
        <v>45647</v>
      </c>
      <c r="O35" s="240">
        <v>45660</v>
      </c>
      <c r="P35" s="273"/>
      <c r="Q35" s="273"/>
      <c r="R35" s="273"/>
    </row>
    <row r="36" spans="1:18" ht="45" x14ac:dyDescent="0.2">
      <c r="A36" s="165">
        <v>32</v>
      </c>
      <c r="B36" s="210" t="s">
        <v>91</v>
      </c>
      <c r="C36" s="193" t="s">
        <v>144</v>
      </c>
      <c r="D36" s="211">
        <v>1</v>
      </c>
      <c r="E36" s="199">
        <v>16</v>
      </c>
      <c r="F36" s="165">
        <v>3</v>
      </c>
      <c r="G36" s="165">
        <v>0</v>
      </c>
      <c r="H36" s="165">
        <f>117+65+163+90+138+70+25+62+18+157+55</f>
        <v>960</v>
      </c>
      <c r="I36" s="165">
        <v>0</v>
      </c>
      <c r="J36" s="165">
        <v>16</v>
      </c>
      <c r="K36" s="165">
        <v>2</v>
      </c>
      <c r="L36" s="165">
        <v>16</v>
      </c>
      <c r="M36" s="165">
        <v>1</v>
      </c>
      <c r="N36" s="240">
        <v>45646</v>
      </c>
      <c r="O36" s="240">
        <v>45657</v>
      </c>
      <c r="P36" s="273"/>
      <c r="Q36" s="273"/>
      <c r="R36" s="273"/>
    </row>
    <row r="37" spans="1:18" ht="45" x14ac:dyDescent="0.2">
      <c r="A37" s="165">
        <v>33</v>
      </c>
      <c r="B37" s="192" t="s">
        <v>17</v>
      </c>
      <c r="C37" s="193" t="s">
        <v>143</v>
      </c>
      <c r="D37" s="228">
        <v>2</v>
      </c>
      <c r="E37" s="195">
        <v>32</v>
      </c>
      <c r="F37" s="165">
        <v>7</v>
      </c>
      <c r="G37" s="165">
        <v>0</v>
      </c>
      <c r="H37" s="165">
        <f>290+210+200+300+150+200+160</f>
        <v>1510</v>
      </c>
      <c r="I37" s="165">
        <v>0</v>
      </c>
      <c r="J37" s="165">
        <v>32</v>
      </c>
      <c r="K37" s="165">
        <v>8</v>
      </c>
      <c r="L37" s="165">
        <v>32</v>
      </c>
      <c r="M37" s="165">
        <v>6</v>
      </c>
      <c r="N37" s="240">
        <v>45646</v>
      </c>
      <c r="O37" s="240">
        <v>45673</v>
      </c>
      <c r="P37" s="273"/>
      <c r="Q37" s="273"/>
      <c r="R37" s="273"/>
    </row>
    <row r="38" spans="1:18" ht="30" x14ac:dyDescent="0.2">
      <c r="A38" s="165">
        <v>34</v>
      </c>
      <c r="B38" s="192" t="s">
        <v>18</v>
      </c>
      <c r="C38" s="193" t="s">
        <v>142</v>
      </c>
      <c r="D38" s="196">
        <v>1</v>
      </c>
      <c r="E38" s="199">
        <v>16</v>
      </c>
      <c r="F38" s="165">
        <v>1</v>
      </c>
      <c r="G38" s="165">
        <v>1</v>
      </c>
      <c r="H38" s="165">
        <v>1034</v>
      </c>
      <c r="I38" s="165">
        <v>1</v>
      </c>
      <c r="J38" s="165">
        <v>16</v>
      </c>
      <c r="K38" s="165">
        <v>16</v>
      </c>
      <c r="L38" s="165">
        <v>16</v>
      </c>
      <c r="M38" s="165">
        <v>1</v>
      </c>
      <c r="N38" s="240">
        <v>45646</v>
      </c>
      <c r="O38" s="240">
        <v>45662</v>
      </c>
      <c r="P38" s="273"/>
      <c r="Q38" s="273"/>
      <c r="R38" s="273"/>
    </row>
    <row r="39" spans="1:18" ht="30" x14ac:dyDescent="0.2">
      <c r="A39" s="165">
        <v>35</v>
      </c>
      <c r="B39" s="192" t="s">
        <v>92</v>
      </c>
      <c r="C39" s="193" t="s">
        <v>141</v>
      </c>
      <c r="D39" s="218">
        <v>3</v>
      </c>
      <c r="E39" s="199">
        <v>48</v>
      </c>
      <c r="F39" s="165">
        <v>4</v>
      </c>
      <c r="G39" s="165">
        <v>2</v>
      </c>
      <c r="H39" s="165">
        <f>725+735+373+360+320+650+130</f>
        <v>3293</v>
      </c>
      <c r="I39" s="165">
        <v>2</v>
      </c>
      <c r="J39" s="165">
        <v>48</v>
      </c>
      <c r="K39" s="165">
        <v>30</v>
      </c>
      <c r="L39" s="165">
        <v>48</v>
      </c>
      <c r="M39" s="165">
        <v>4</v>
      </c>
      <c r="N39" s="240">
        <v>45646</v>
      </c>
      <c r="O39" s="240">
        <v>45665</v>
      </c>
      <c r="P39" s="273"/>
      <c r="Q39" s="273"/>
      <c r="R39" s="273"/>
    </row>
    <row r="40" spans="1:18" ht="30" x14ac:dyDescent="0.2">
      <c r="A40" s="165">
        <v>36</v>
      </c>
      <c r="B40" s="192" t="s">
        <v>93</v>
      </c>
      <c r="C40" s="193" t="s">
        <v>140</v>
      </c>
      <c r="D40" s="219">
        <v>1</v>
      </c>
      <c r="E40" s="220">
        <v>16</v>
      </c>
      <c r="F40" s="165">
        <v>0</v>
      </c>
      <c r="G40" s="165">
        <v>1</v>
      </c>
      <c r="H40" s="165">
        <v>1182</v>
      </c>
      <c r="I40" s="165">
        <v>1</v>
      </c>
      <c r="J40" s="165">
        <v>16</v>
      </c>
      <c r="K40" s="165">
        <v>17</v>
      </c>
      <c r="L40" s="165">
        <v>16</v>
      </c>
      <c r="M40" s="165">
        <v>1</v>
      </c>
      <c r="N40" s="240">
        <v>45646</v>
      </c>
      <c r="O40" s="240">
        <v>45662</v>
      </c>
      <c r="P40" s="273"/>
      <c r="Q40" s="273"/>
      <c r="R40" s="273"/>
    </row>
    <row r="41" spans="1:18" ht="90" x14ac:dyDescent="0.2">
      <c r="A41" s="10">
        <v>37</v>
      </c>
      <c r="B41" s="71" t="s">
        <v>94</v>
      </c>
      <c r="C41" s="72" t="s">
        <v>258</v>
      </c>
      <c r="D41" s="89">
        <v>1</v>
      </c>
      <c r="E41" s="80">
        <v>16</v>
      </c>
      <c r="F41" s="10">
        <v>3</v>
      </c>
      <c r="G41" s="10">
        <v>0</v>
      </c>
      <c r="H41" s="10">
        <f>50+40+50+50+50+40+40+60+70+70+50+50+60+70+90+90+100</f>
        <v>1030</v>
      </c>
      <c r="I41" s="10">
        <v>0</v>
      </c>
      <c r="J41" s="10">
        <v>16</v>
      </c>
      <c r="K41" s="10">
        <v>3</v>
      </c>
      <c r="L41" s="10">
        <v>16</v>
      </c>
      <c r="M41" s="10">
        <v>1</v>
      </c>
      <c r="N41" s="240">
        <v>45646</v>
      </c>
      <c r="O41" s="271" t="s">
        <v>257</v>
      </c>
      <c r="P41" s="273"/>
      <c r="Q41" s="273"/>
      <c r="R41" s="273"/>
    </row>
    <row r="42" spans="1:18" ht="45" x14ac:dyDescent="0.2">
      <c r="A42" s="229">
        <v>38</v>
      </c>
      <c r="B42" s="230" t="s">
        <v>94</v>
      </c>
      <c r="C42" s="231" t="s">
        <v>145</v>
      </c>
      <c r="D42" s="232">
        <v>1</v>
      </c>
      <c r="E42" s="233">
        <v>16</v>
      </c>
      <c r="F42" s="229">
        <v>0</v>
      </c>
      <c r="G42" s="229">
        <v>1</v>
      </c>
      <c r="H42" s="229">
        <v>700</v>
      </c>
      <c r="I42" s="229">
        <v>1</v>
      </c>
      <c r="J42" s="229">
        <v>16</v>
      </c>
      <c r="K42" s="229">
        <v>17</v>
      </c>
      <c r="L42" s="229">
        <v>17</v>
      </c>
      <c r="M42" s="229">
        <v>1</v>
      </c>
      <c r="N42" s="240">
        <v>45645</v>
      </c>
      <c r="O42" s="272"/>
      <c r="P42" s="273"/>
      <c r="Q42" s="273"/>
      <c r="R42" s="273"/>
    </row>
    <row r="43" spans="1:18" ht="45" x14ac:dyDescent="0.2">
      <c r="A43" s="165">
        <v>39</v>
      </c>
      <c r="B43" s="192" t="s">
        <v>19</v>
      </c>
      <c r="C43" s="193" t="s">
        <v>146</v>
      </c>
      <c r="D43" s="209">
        <v>2</v>
      </c>
      <c r="E43" s="199">
        <v>32</v>
      </c>
      <c r="F43" s="165">
        <v>7</v>
      </c>
      <c r="G43" s="165">
        <v>0</v>
      </c>
      <c r="H43" s="165">
        <f>480+390+380+420+385+320+390+450</f>
        <v>3215</v>
      </c>
      <c r="I43" s="165">
        <v>0</v>
      </c>
      <c r="J43" s="165">
        <v>32</v>
      </c>
      <c r="K43" s="165">
        <v>48</v>
      </c>
      <c r="L43" s="165">
        <v>44</v>
      </c>
      <c r="M43" s="165">
        <v>7</v>
      </c>
      <c r="N43" s="240">
        <v>45647</v>
      </c>
      <c r="O43" s="240">
        <v>45653</v>
      </c>
      <c r="P43" s="273"/>
      <c r="Q43" s="273"/>
      <c r="R43" s="273"/>
    </row>
    <row r="44" spans="1:18" ht="45" x14ac:dyDescent="0.2">
      <c r="A44" s="165">
        <v>40</v>
      </c>
      <c r="B44" s="192" t="s">
        <v>96</v>
      </c>
      <c r="C44" s="193" t="s">
        <v>147</v>
      </c>
      <c r="D44" s="194">
        <v>2</v>
      </c>
      <c r="E44" s="199">
        <v>32</v>
      </c>
      <c r="F44" s="165">
        <v>6</v>
      </c>
      <c r="G44" s="165">
        <v>0</v>
      </c>
      <c r="H44" s="165">
        <f>350+280+150+320+360+310+250+420+390+380</f>
        <v>3210</v>
      </c>
      <c r="I44" s="165">
        <v>0</v>
      </c>
      <c r="J44" s="165">
        <v>32</v>
      </c>
      <c r="K44" s="165">
        <v>0</v>
      </c>
      <c r="L44" s="165">
        <v>38</v>
      </c>
      <c r="M44" s="165">
        <v>6</v>
      </c>
      <c r="N44" s="240">
        <v>45647</v>
      </c>
      <c r="O44" s="240">
        <v>45656</v>
      </c>
      <c r="P44" s="273"/>
      <c r="Q44" s="273"/>
      <c r="R44" s="273"/>
    </row>
    <row r="45" spans="1:18" ht="60" x14ac:dyDescent="0.2">
      <c r="A45" s="165">
        <v>41</v>
      </c>
      <c r="B45" s="192" t="s">
        <v>97</v>
      </c>
      <c r="C45" s="193" t="s">
        <v>148</v>
      </c>
      <c r="D45" s="200">
        <v>3</v>
      </c>
      <c r="E45" s="201">
        <v>48</v>
      </c>
      <c r="F45" s="165">
        <v>3</v>
      </c>
      <c r="G45" s="165">
        <v>2</v>
      </c>
      <c r="H45" s="165">
        <f>120+130+150+100+115+250+160+210+150+260+250+290+210+220+280+250</f>
        <v>3145</v>
      </c>
      <c r="I45" s="165">
        <v>2</v>
      </c>
      <c r="J45" s="165">
        <v>48</v>
      </c>
      <c r="K45" s="165">
        <v>52</v>
      </c>
      <c r="L45" s="165">
        <v>53</v>
      </c>
      <c r="M45" s="165">
        <v>5</v>
      </c>
      <c r="N45" s="240">
        <v>45647</v>
      </c>
      <c r="O45" s="240">
        <v>45656</v>
      </c>
      <c r="P45" s="273"/>
      <c r="Q45" s="273"/>
      <c r="R45" s="273"/>
    </row>
    <row r="46" spans="1:18" ht="45" x14ac:dyDescent="0.2">
      <c r="A46" s="165">
        <v>42</v>
      </c>
      <c r="B46" s="192" t="s">
        <v>98</v>
      </c>
      <c r="C46" s="193" t="s">
        <v>99</v>
      </c>
      <c r="D46" s="196">
        <v>1</v>
      </c>
      <c r="E46" s="202">
        <v>16</v>
      </c>
      <c r="F46" s="165">
        <v>3</v>
      </c>
      <c r="G46" s="165">
        <v>0</v>
      </c>
      <c r="H46" s="165">
        <f>325+290+200+280+240+390</f>
        <v>1725</v>
      </c>
      <c r="I46" s="165">
        <v>0</v>
      </c>
      <c r="J46" s="165">
        <v>16</v>
      </c>
      <c r="K46" s="165">
        <v>0</v>
      </c>
      <c r="L46" s="165">
        <v>18</v>
      </c>
      <c r="M46" s="165">
        <v>3</v>
      </c>
      <c r="N46" s="240">
        <v>45652</v>
      </c>
      <c r="O46" s="240">
        <v>45656</v>
      </c>
      <c r="P46" s="273"/>
      <c r="Q46" s="273"/>
      <c r="R46" s="273"/>
    </row>
    <row r="47" spans="1:18" ht="30" x14ac:dyDescent="0.2">
      <c r="A47" s="165">
        <v>43</v>
      </c>
      <c r="B47" s="192" t="s">
        <v>100</v>
      </c>
      <c r="C47" s="193" t="s">
        <v>101</v>
      </c>
      <c r="D47" s="196">
        <v>1</v>
      </c>
      <c r="E47" s="203">
        <v>16</v>
      </c>
      <c r="F47" s="165">
        <v>3</v>
      </c>
      <c r="G47" s="165">
        <v>0</v>
      </c>
      <c r="H47" s="165">
        <f>570+450+600</f>
        <v>1620</v>
      </c>
      <c r="I47" s="165">
        <v>0</v>
      </c>
      <c r="J47" s="165">
        <v>16</v>
      </c>
      <c r="K47" s="165">
        <v>1</v>
      </c>
      <c r="L47" s="165">
        <v>16</v>
      </c>
      <c r="M47" s="165">
        <v>2</v>
      </c>
      <c r="N47" s="240">
        <v>45644</v>
      </c>
      <c r="O47" s="240">
        <v>45648</v>
      </c>
      <c r="P47" s="273"/>
      <c r="Q47" s="273"/>
      <c r="R47" s="273"/>
    </row>
    <row r="48" spans="1:18" ht="45" x14ac:dyDescent="0.2">
      <c r="A48" s="165">
        <v>44</v>
      </c>
      <c r="B48" s="192" t="s">
        <v>102</v>
      </c>
      <c r="C48" s="193" t="s">
        <v>149</v>
      </c>
      <c r="D48" s="204">
        <v>1</v>
      </c>
      <c r="E48" s="205">
        <v>16</v>
      </c>
      <c r="F48" s="165">
        <v>3</v>
      </c>
      <c r="G48" s="165">
        <v>0</v>
      </c>
      <c r="H48" s="165">
        <f>550+470+490</f>
        <v>1510</v>
      </c>
      <c r="I48" s="165">
        <v>0</v>
      </c>
      <c r="J48" s="165">
        <v>16</v>
      </c>
      <c r="K48" s="165">
        <v>0</v>
      </c>
      <c r="L48" s="165">
        <v>16</v>
      </c>
      <c r="M48" s="165">
        <v>3</v>
      </c>
      <c r="N48" s="240">
        <v>45644</v>
      </c>
      <c r="O48" s="240">
        <v>45649</v>
      </c>
      <c r="P48" s="273"/>
      <c r="Q48" s="273"/>
      <c r="R48" s="273"/>
    </row>
    <row r="49" spans="1:18" ht="60" x14ac:dyDescent="0.2">
      <c r="A49" s="165">
        <v>45</v>
      </c>
      <c r="B49" s="192" t="s">
        <v>103</v>
      </c>
      <c r="C49" s="193" t="s">
        <v>158</v>
      </c>
      <c r="D49" s="206">
        <v>1</v>
      </c>
      <c r="E49" s="207">
        <v>16</v>
      </c>
      <c r="F49" s="165">
        <v>3</v>
      </c>
      <c r="G49" s="165">
        <v>0</v>
      </c>
      <c r="H49" s="165">
        <f>870+700</f>
        <v>1570</v>
      </c>
      <c r="I49" s="165">
        <v>0</v>
      </c>
      <c r="J49" s="165">
        <v>16</v>
      </c>
      <c r="K49" s="165">
        <v>1</v>
      </c>
      <c r="L49" s="165">
        <v>16</v>
      </c>
      <c r="M49" s="165">
        <v>2</v>
      </c>
      <c r="N49" s="240">
        <v>45644</v>
      </c>
      <c r="O49" s="240">
        <v>45656</v>
      </c>
      <c r="P49" s="273"/>
      <c r="Q49" s="273"/>
      <c r="R49" s="273"/>
    </row>
    <row r="50" spans="1:18" ht="45" x14ac:dyDescent="0.2">
      <c r="A50" s="165">
        <v>46</v>
      </c>
      <c r="B50" s="192" t="s">
        <v>104</v>
      </c>
      <c r="C50" s="193" t="s">
        <v>157</v>
      </c>
      <c r="D50" s="227">
        <v>2</v>
      </c>
      <c r="E50" s="234">
        <v>32</v>
      </c>
      <c r="F50" s="165">
        <v>6</v>
      </c>
      <c r="G50" s="165">
        <v>0</v>
      </c>
      <c r="H50" s="165">
        <f>760+680+590+450+510</f>
        <v>2990</v>
      </c>
      <c r="I50" s="165">
        <v>0</v>
      </c>
      <c r="J50" s="165">
        <v>32</v>
      </c>
      <c r="K50" s="165">
        <v>1</v>
      </c>
      <c r="L50" s="165">
        <v>32</v>
      </c>
      <c r="M50" s="165">
        <v>5</v>
      </c>
      <c r="N50" s="240">
        <v>45644</v>
      </c>
      <c r="O50" s="240">
        <v>45649</v>
      </c>
      <c r="P50" s="273"/>
      <c r="Q50" s="273"/>
      <c r="R50" s="273"/>
    </row>
    <row r="51" spans="1:18" ht="60" x14ac:dyDescent="0.2">
      <c r="A51" s="165">
        <v>47</v>
      </c>
      <c r="B51" s="192" t="s">
        <v>104</v>
      </c>
      <c r="C51" s="193" t="s">
        <v>105</v>
      </c>
      <c r="D51" s="196">
        <v>1</v>
      </c>
      <c r="E51" s="208">
        <v>16</v>
      </c>
      <c r="F51" s="165">
        <v>3</v>
      </c>
      <c r="G51" s="165">
        <v>0</v>
      </c>
      <c r="H51" s="165">
        <f>570+440+550</f>
        <v>1560</v>
      </c>
      <c r="I51" s="165">
        <v>0</v>
      </c>
      <c r="J51" s="165">
        <v>16</v>
      </c>
      <c r="K51" s="165">
        <v>1</v>
      </c>
      <c r="L51" s="165">
        <v>16</v>
      </c>
      <c r="M51" s="165">
        <v>2</v>
      </c>
      <c r="N51" s="240">
        <v>45644</v>
      </c>
      <c r="O51" s="240">
        <v>45653</v>
      </c>
      <c r="P51" s="273"/>
      <c r="Q51" s="273"/>
      <c r="R51" s="273"/>
    </row>
    <row r="52" spans="1:18" ht="15" x14ac:dyDescent="0.25">
      <c r="A52" s="2"/>
      <c r="B52" s="3"/>
      <c r="C52" s="4"/>
      <c r="D52" s="160">
        <f>SUM(D5:D51)</f>
        <v>89</v>
      </c>
      <c r="E52" s="174">
        <f>SUM(E5:E51)</f>
        <v>1424</v>
      </c>
      <c r="F52" s="160">
        <f>SUM(F5:F51)</f>
        <v>162</v>
      </c>
      <c r="G52" s="160">
        <f t="shared" ref="G52:M52" si="0">SUM(G5:G51)</f>
        <v>34</v>
      </c>
      <c r="H52" s="160">
        <f t="shared" si="0"/>
        <v>95843</v>
      </c>
      <c r="I52" s="160">
        <f t="shared" si="0"/>
        <v>34</v>
      </c>
      <c r="J52" s="175">
        <f t="shared" si="0"/>
        <v>1424</v>
      </c>
      <c r="K52" s="160">
        <f t="shared" si="0"/>
        <v>853</v>
      </c>
      <c r="L52" s="160">
        <f t="shared" si="0"/>
        <v>1469</v>
      </c>
      <c r="M52" s="160">
        <f t="shared" si="0"/>
        <v>126</v>
      </c>
      <c r="N52" s="183"/>
      <c r="P52" s="273"/>
      <c r="Q52" s="273"/>
      <c r="R52" s="273"/>
    </row>
    <row r="54" spans="1:18" ht="14.25" x14ac:dyDescent="0.2">
      <c r="F54" s="129">
        <v>7993.56</v>
      </c>
      <c r="G54" s="129">
        <v>88441</v>
      </c>
      <c r="H54" s="129">
        <v>106.2</v>
      </c>
      <c r="I54" s="129">
        <v>5596.98</v>
      </c>
      <c r="J54" s="129">
        <v>259.60000000000002</v>
      </c>
      <c r="K54" s="129">
        <v>141.6</v>
      </c>
      <c r="L54" s="129">
        <v>230.3</v>
      </c>
      <c r="M54" s="129">
        <v>8230.77</v>
      </c>
      <c r="N54" s="184"/>
    </row>
    <row r="56" spans="1:18" ht="14.25" x14ac:dyDescent="0.2">
      <c r="F56" s="161">
        <f>F54*F52</f>
        <v>1294956.72</v>
      </c>
      <c r="G56" s="161">
        <f t="shared" ref="G56:M56" si="1">G54*G52</f>
        <v>3006994</v>
      </c>
      <c r="H56" s="161">
        <f t="shared" si="1"/>
        <v>10178526.6</v>
      </c>
      <c r="I56" s="161">
        <f>I54*I52</f>
        <v>190297.31999999998</v>
      </c>
      <c r="J56" s="161">
        <f t="shared" si="1"/>
        <v>369670.40000000002</v>
      </c>
      <c r="K56" s="161">
        <f t="shared" si="1"/>
        <v>120784.79999999999</v>
      </c>
      <c r="L56" s="161">
        <f t="shared" si="1"/>
        <v>338310.7</v>
      </c>
      <c r="M56" s="161">
        <f t="shared" si="1"/>
        <v>1037077.02</v>
      </c>
      <c r="N56" s="161"/>
    </row>
    <row r="57" spans="1:18" ht="14.25" x14ac:dyDescent="0.2">
      <c r="F57" s="128"/>
      <c r="G57" s="128"/>
      <c r="H57" s="128"/>
      <c r="I57" s="128"/>
      <c r="J57" s="128"/>
      <c r="K57" s="128"/>
      <c r="L57" s="128"/>
      <c r="M57" s="128"/>
      <c r="N57" s="128"/>
    </row>
    <row r="58" spans="1:18" ht="14.25" x14ac:dyDescent="0.2">
      <c r="F58" s="128"/>
      <c r="G58" s="128"/>
      <c r="H58" s="128"/>
      <c r="I58" s="128"/>
      <c r="J58" s="128"/>
      <c r="K58" s="128"/>
      <c r="L58" s="128"/>
      <c r="M58" s="162">
        <f>SUM(F56:M57)</f>
        <v>16536617.560000001</v>
      </c>
      <c r="N58" s="161"/>
    </row>
    <row r="59" spans="1:18" x14ac:dyDescent="0.2">
      <c r="E59" s="164"/>
    </row>
    <row r="61" spans="1:18" ht="15.75" x14ac:dyDescent="0.2">
      <c r="L61" s="176"/>
      <c r="M61" s="177">
        <v>11612.79</v>
      </c>
      <c r="N61" s="177"/>
    </row>
    <row r="62" spans="1:18" ht="15.75" x14ac:dyDescent="0.2">
      <c r="L62" s="176" t="s">
        <v>250</v>
      </c>
      <c r="M62" s="177">
        <v>11613</v>
      </c>
      <c r="N62" s="177"/>
    </row>
  </sheetData>
  <autoFilter ref="A3:M52" xr:uid="{00000000-0009-0000-0000-000004000000}"/>
  <mergeCells count="19">
    <mergeCell ref="P3:P4"/>
    <mergeCell ref="Q3:Q4"/>
    <mergeCell ref="R3:R4"/>
    <mergeCell ref="O3:O4"/>
    <mergeCell ref="A2:M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N3:N4"/>
    <mergeCell ref="J3:J4"/>
    <mergeCell ref="K3:K4"/>
    <mergeCell ref="L3:L4"/>
    <mergeCell ref="M3:M4"/>
  </mergeCells>
  <pageMargins left="0.17" right="0.97" top="0.75" bottom="0.75" header="0.3" footer="0.18"/>
  <pageSetup paperSize="9" scale="60" orientation="landscape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179 LOCATION LIST (2)</vt:lpstr>
      <vt:lpstr>PHASE I BOQ  </vt:lpstr>
      <vt:lpstr>PHASE I Location List </vt:lpstr>
      <vt:lpstr>PHASE II BOQ  </vt:lpstr>
      <vt:lpstr>PHASE II Location List Working</vt:lpstr>
      <vt:lpstr>'PHASE I Location List '!Print_Area</vt:lpstr>
      <vt:lpstr>'PHASE II Location List Working'!Print_Area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JD Admin</cp:lastModifiedBy>
  <cp:lastPrinted>2025-01-01T12:11:21Z</cp:lastPrinted>
  <dcterms:created xsi:type="dcterms:W3CDTF">2024-04-27T06:53:59Z</dcterms:created>
  <dcterms:modified xsi:type="dcterms:W3CDTF">2025-02-25T10:51:10Z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2024-04-26T00:00:00Z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2024-04-27T00:00:00Z</vt:filetime>
  </property>
  <property fmtid="{D5CDD505-2E9C-101B-9397-08002B2CF9AE}" pid="5" name="Producer">
    <vt:lpwstr>GPL Ghostscript 9.55.0</vt:lpwstr>
  </property>
</Properties>
</file>